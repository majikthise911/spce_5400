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lay\Desktop\"/>
    </mc:Choice>
  </mc:AlternateContent>
  <xr:revisionPtr revIDLastSave="0" documentId="13_ncr:1_{3D411ECD-7A73-41B7-A467-65A37E8E7531}" xr6:coauthVersionLast="47" xr6:coauthVersionMax="47" xr10:uidLastSave="{00000000-0000-0000-0000-000000000000}"/>
  <bookViews>
    <workbookView xWindow="51510" yWindow="0" windowWidth="19395" windowHeight="20985" firstSheet="3" activeTab="6" xr2:uid="{00000000-000D-0000-FFFF-FFFF00000000}"/>
  </bookViews>
  <sheets>
    <sheet name="Parameters" sheetId="1" r:id="rId1"/>
    <sheet name="Table_9.5_Original" sheetId="2" r:id="rId2"/>
    <sheet name="Table_9.6_Original" sheetId="3" r:id="rId3"/>
    <sheet name="Table_9.5_Modified" sheetId="4" r:id="rId4"/>
    <sheet name="Table_9.6_Modified" sheetId="5" r:id="rId5"/>
    <sheet name="Comparison" sheetId="6" r:id="rId6"/>
    <sheet name="Analysis_Not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9" i="5"/>
  <c r="B8" i="5"/>
  <c r="B7" i="5"/>
  <c r="B6" i="5"/>
  <c r="B5" i="5"/>
  <c r="B4" i="5"/>
  <c r="C9" i="4"/>
  <c r="B8" i="4"/>
  <c r="D9" i="4" s="1"/>
  <c r="C7" i="4"/>
  <c r="B6" i="4"/>
  <c r="D7" i="4" s="1"/>
  <c r="C5" i="4"/>
  <c r="B4" i="4"/>
  <c r="D5" i="4" s="1"/>
  <c r="B8" i="3"/>
  <c r="B7" i="3"/>
  <c r="B6" i="3"/>
  <c r="B5" i="3"/>
  <c r="B4" i="3"/>
  <c r="C9" i="2"/>
  <c r="B8" i="2"/>
  <c r="D9" i="2" s="1"/>
  <c r="C7" i="2"/>
  <c r="B6" i="2"/>
  <c r="D7" i="2" s="1"/>
  <c r="C5" i="2"/>
  <c r="B4" i="2"/>
  <c r="D5" i="2" s="1"/>
  <c r="D5" i="6" l="1"/>
  <c r="C6" i="5"/>
  <c r="C6" i="6"/>
  <c r="C8" i="3"/>
  <c r="C4" i="5"/>
  <c r="D4" i="6"/>
  <c r="E4" i="6" s="1"/>
  <c r="F4" i="6" s="1"/>
  <c r="D6" i="6"/>
  <c r="E6" i="6" s="1"/>
  <c r="F6" i="6" s="1"/>
  <c r="C8" i="5"/>
  <c r="C4" i="3"/>
  <c r="C4" i="6"/>
  <c r="C5" i="6"/>
  <c r="C6" i="3"/>
  <c r="D6" i="3" l="1"/>
  <c r="E6" i="3" s="1"/>
  <c r="C13" i="6" s="1"/>
  <c r="C9" i="6"/>
  <c r="D4" i="3"/>
  <c r="E4" i="3" s="1"/>
  <c r="C12" i="6" s="1"/>
  <c r="C8" i="6"/>
  <c r="D10" i="6"/>
  <c r="D8" i="5"/>
  <c r="E8" i="5" s="1"/>
  <c r="D14" i="6" s="1"/>
  <c r="E14" i="6" s="1"/>
  <c r="F14" i="6" s="1"/>
  <c r="D4" i="5"/>
  <c r="E4" i="5" s="1"/>
  <c r="D12" i="6" s="1"/>
  <c r="E12" i="6" s="1"/>
  <c r="F12" i="6" s="1"/>
  <c r="D8" i="6"/>
  <c r="E8" i="6" s="1"/>
  <c r="F8" i="6" s="1"/>
  <c r="D8" i="3"/>
  <c r="E8" i="3" s="1"/>
  <c r="C14" i="6" s="1"/>
  <c r="C10" i="6"/>
  <c r="D9" i="6"/>
  <c r="E9" i="6" s="1"/>
  <c r="F9" i="6" s="1"/>
  <c r="D6" i="5"/>
  <c r="E6" i="5" s="1"/>
  <c r="D13" i="6" s="1"/>
  <c r="E13" i="6" s="1"/>
  <c r="F13" i="6" s="1"/>
  <c r="E5" i="6"/>
  <c r="F5" i="6" s="1"/>
  <c r="E10" i="6" l="1"/>
  <c r="F10" i="6" s="1"/>
</calcChain>
</file>

<file path=xl/sharedStrings.xml><?xml version="1.0" encoding="utf-8"?>
<sst xmlns="http://schemas.openxmlformats.org/spreadsheetml/2006/main" count="195" uniqueCount="138">
  <si>
    <t>SARSAT Adjacent Satellite Interference Analysis</t>
  </si>
  <si>
    <t>GLOBAL CONSTANTS</t>
  </si>
  <si>
    <t>Parameter</t>
  </si>
  <si>
    <t>Symbol</t>
  </si>
  <si>
    <t>Value</t>
  </si>
  <si>
    <t>Units</t>
  </si>
  <si>
    <t>Earth Radius</t>
  </si>
  <si>
    <t>R_E</t>
  </si>
  <si>
    <t>km</t>
  </si>
  <si>
    <t>Mean Motion</t>
  </si>
  <si>
    <t>n</t>
  </si>
  <si>
    <t>orbits/day</t>
  </si>
  <si>
    <t>SATELLITE ORBITAL PARAMETERS</t>
  </si>
  <si>
    <t>Satellite</t>
  </si>
  <si>
    <t>Altitude H (km)</t>
  </si>
  <si>
    <t>Velocity (km/s)</t>
  </si>
  <si>
    <t>Orbit Period (s)</t>
  </si>
  <si>
    <t>Mean Motion (orb/day)</t>
  </si>
  <si>
    <t>SARSAT 12</t>
  </si>
  <si>
    <t>SARSAT 10</t>
  </si>
  <si>
    <t>SARSAT 11</t>
  </si>
  <si>
    <t>SARSAT 9</t>
  </si>
  <si>
    <t>SARSAT 8</t>
  </si>
  <si>
    <t>SARSAT 7</t>
  </si>
  <si>
    <t>SCENARIO PARAMETERS</t>
  </si>
  <si>
    <t>Scenario</t>
  </si>
  <si>
    <t>Elevation 1 (deg)</t>
  </si>
  <si>
    <t>Elevation 2 (deg)</t>
  </si>
  <si>
    <t>Sep. Angle (deg)</t>
  </si>
  <si>
    <t>Description</t>
  </si>
  <si>
    <t>Original</t>
  </si>
  <si>
    <t>Textbook baseline</t>
  </si>
  <si>
    <t>Modified</t>
  </si>
  <si>
    <t>Modified scenario</t>
  </si>
  <si>
    <t>Table 9.5 - SARSAT Adjacent Satellites (Original: 9.25° and 5°)</t>
  </si>
  <si>
    <t>Slant range at 9.25° (km)</t>
  </si>
  <si>
    <t>Slant range at 5° (km)</t>
  </si>
  <si>
    <t>Separation distance (km)</t>
  </si>
  <si>
    <t>Table 9.6 - SARSAT Adjacent Satellites (Original: 9.25° and 5°)</t>
  </si>
  <si>
    <t>Duration (s)</t>
  </si>
  <si>
    <t>Interference repeat cycle (#Orbits)</t>
  </si>
  <si>
    <t>Repeat cycle (#days)</t>
  </si>
  <si>
    <t>Table 9.5 - SARSAT Adjacent Satellites (Modified: 11.25° and 7°)</t>
  </si>
  <si>
    <t>Slant range at 11.25° (km)</t>
  </si>
  <si>
    <t>Slant range at 7° (km)</t>
  </si>
  <si>
    <t>Table 9.6 - SARSAT Adjacent Satellites (Modified: 11.25° and 7°)</t>
  </si>
  <si>
    <t>Comparison: Original (9.25°/5°) vs Modified (11.25°/7°)</t>
  </si>
  <si>
    <t>Satellite Pair</t>
  </si>
  <si>
    <t>Abs Change</t>
  </si>
  <si>
    <t>% Change</t>
  </si>
  <si>
    <t>Interpretation</t>
  </si>
  <si>
    <t>Separation (km)</t>
  </si>
  <si>
    <t>S12/S10</t>
  </si>
  <si>
    <t>Smaller separation → Less interference</t>
  </si>
  <si>
    <t>S11/S9</t>
  </si>
  <si>
    <t>S8/S7</t>
  </si>
  <si>
    <t>Shorter distance → Shorter duration</t>
  </si>
  <si>
    <t>Repeat Cycle (days)</t>
  </si>
  <si>
    <t>Proportional to duration</t>
  </si>
  <si>
    <t>DETAILED ANALYSIS:</t>
  </si>
  <si>
    <t>Geometric Effects:</t>
  </si>
  <si>
    <t>• Increasing from 9.25° to 11.25° (+2° higher): Satellite S12 moves 150 km closer</t>
  </si>
  <si>
    <t>• Increasing from 5° to 7° (+2° higher): Satellite S10 moves 120 km closer</t>
  </si>
  <si>
    <t>• Same angular separation (4.25°) at shorter ranges = smaller linear separation</t>
  </si>
  <si>
    <t>Operational Impact:</t>
  </si>
  <si>
    <t>• SARSAT 12/10: Interference reduced from 55.5s to 51.3s (saves 4.2 seconds per event)</t>
  </si>
  <si>
    <t>• With 3-day repeat cycle: ~10 interference events per month</t>
  </si>
  <si>
    <t>• Total time saved: ~42 seconds per month (small but meaningful for critical SAR)</t>
  </si>
  <si>
    <t>Most Problematic Pair - SARSAT 12/10:</t>
  </si>
  <si>
    <t>• Longest repeat cycle (3.03 days) due to nearly identical orbital periods</t>
  </si>
  <si>
    <t>• Only 1.3 second difference in orbital periods creates long interference windows</t>
  </si>
  <si>
    <t>• Recommendation: Priority target for operational coordination/mitigation</t>
  </si>
  <si>
    <t>DETAILED ANALYSIS &amp; EXPLANATIONS</t>
  </si>
  <si>
    <t>WHY DO REPEAT CYCLES CHANGE DIFFERENTLY?</t>
  </si>
  <si>
    <t>The repeat cycle depends on TWO factors:</t>
  </si>
  <si>
    <t xml:space="preserve">  1. Interference duration (changes with separation distance)</t>
  </si>
  <si>
    <t xml:space="preserve">  2. Orbital period difference (CONSTANT for each satellite pair)</t>
  </si>
  <si>
    <t>Formula: Repeat Cycle = Duration / Orbital_Period_Difference</t>
  </si>
  <si>
    <t>Key Insight:</t>
  </si>
  <si>
    <t>• Duration decreased by ~9-11% for all pairs (consistent geometric effect)</t>
  </si>
  <si>
    <t>• BUT orbital periods don't change - they're fixed by altitude</t>
  </si>
  <si>
    <t>• Therefore: Repeat cycle also decreased by ~9-11% for all pairs</t>
  </si>
  <si>
    <t>Example - SARSAT 12/10 pair:</t>
  </si>
  <si>
    <t xml:space="preserve">  Original:  Duration = 55.5s, Period_diff = 1.3s → Repeat = 42.7 orbits</t>
  </si>
  <si>
    <t xml:space="preserve">  Modified:  Duration = 51.3s, Period_diff = 1.3s → Repeat = 39.5 orbits</t>
  </si>
  <si>
    <t xml:space="preserve">  Change:    51.3/55.5 = 92.4% → 7.6% reduction ✓</t>
  </si>
  <si>
    <t>The percentage change in repeat cycle MATCHES the percentage change in duration</t>
  </si>
  <si>
    <t>because the denominator (period difference) stays constant.</t>
  </si>
  <si>
    <t>PHYSICAL SIGNIFICANCE OF THE CHANGES</t>
  </si>
  <si>
    <t>7-9% Reduction in Separation Distance:</t>
  </si>
  <si>
    <t xml:space="preserve">  • Satellites appear closer together when tracked at higher elevations</t>
  </si>
  <si>
    <t xml:space="preserve">  • At zenith (90°), angular separation would be ZERO (both directly overhead)</t>
  </si>
  <si>
    <t xml:space="preserve">  • At horizon (0°), angular separation approaches physical orbital spacing</t>
  </si>
  <si>
    <t xml:space="preserve">  • Higher elevation = closer to zenith = smaller linear separation</t>
  </si>
  <si>
    <t>9-11% Reduction in Interference Duration:</t>
  </si>
  <si>
    <t xml:space="preserve">  • Less time spent within the critical 4.25° angular separation zone</t>
  </si>
  <si>
    <t xml:space="preserve">  • Practical impact: ~5-6 seconds shorter interference window per event</t>
  </si>
  <si>
    <t xml:space="preserve">  • For SARSAT 12/10: 56.3s → 51.3s means 5 fewer seconds of potential signal loss</t>
  </si>
  <si>
    <t>Same % Reduction in Repeat Cycle:</t>
  </si>
  <si>
    <t xml:space="preserve">  • Interference events recur with same frequency (orbital mechanics unchanged)</t>
  </si>
  <si>
    <t xml:space="preserve">  • But each event is shorter by ~9%</t>
  </si>
  <si>
    <t xml:space="preserve">  • Total interference time per day reduced by ~9%</t>
  </si>
  <si>
    <t>WHEN IS THE MODIFIED SCENARIO (11.25°/7°) PREFERABLE?</t>
  </si>
  <si>
    <t>Advantages of Higher Elevation Tracking (11.25°/7° vs 9.25°/5°):</t>
  </si>
  <si>
    <t xml:space="preserve">  ✓ 9% reduction in interference duration → Better signal quality</t>
  </si>
  <si>
    <t xml:space="preserve">  ✓ Shorter slant ranges → Stronger signals (lower free-space path loss)</t>
  </si>
  <si>
    <t xml:space="preserve">  ✓ Reduced atmospheric effects (less ionospheric scintillation)</t>
  </si>
  <si>
    <t xml:space="preserve">  ✓ Lower multipath interference from ground reflections</t>
  </si>
  <si>
    <t>Disadvantages:</t>
  </si>
  <si>
    <t xml:space="preserve">  ✗ Shorter contact time per pass (satellites move through FOV faster)</t>
  </si>
  <si>
    <t xml:space="preserve">  ✗ Reduced coverage area (smaller footprint at higher elevations)</t>
  </si>
  <si>
    <t xml:space="preserve">  ✗ More frequent handoffs between passes</t>
  </si>
  <si>
    <t>Recommended Use Cases:</t>
  </si>
  <si>
    <t xml:space="preserve">  • Critical communications where signal quality &gt; contact time</t>
  </si>
  <si>
    <t xml:space="preserve">  • Dense satellite constellations (many opportunities for contact)</t>
  </si>
  <si>
    <t xml:space="preserve">  • Search &amp; rescue operations (SARSAT) where reliability is paramount</t>
  </si>
  <si>
    <t xml:space="preserve">  • Urban environments with high multipath interference at low elevations</t>
  </si>
  <si>
    <t>NOT Recommended For:</t>
  </si>
  <si>
    <t xml:space="preserve">  • Polar regions with limited satellite coverage</t>
  </si>
  <si>
    <t xml:space="preserve">  • Situations requiring maximum contact duration</t>
  </si>
  <si>
    <t xml:space="preserve">  • Single-satellite systems with no backup</t>
  </si>
  <si>
    <t>EQUATIONS FROM SECTION 9.6.1</t>
  </si>
  <si>
    <t>Equation 9.14 - Slant Range:</t>
  </si>
  <si>
    <t xml:space="preserve">  d = -R_E·sin(ε) + √[(R_E·sin(ε))² + 2·R_E·H + H²]</t>
  </si>
  <si>
    <t xml:space="preserve">  Where:</t>
  </si>
  <si>
    <t xml:space="preserve">    R_E = Earth radius (6378 km)</t>
  </si>
  <si>
    <t xml:space="preserve">    ε = elevation angle (degrees)</t>
  </si>
  <si>
    <t xml:space="preserve">    H = satellite altitude (km)</t>
  </si>
  <si>
    <t>Equation 9.15 - Separation Distance:</t>
  </si>
  <si>
    <t xml:space="preserve">  sd = √[d₁² + d₂² - 2·d₁·d₂·cos(θ)]</t>
  </si>
  <si>
    <t xml:space="preserve">    d₁ = slant range to satellite at higher elevation</t>
  </si>
  <si>
    <t xml:space="preserve">    d₂ = slant range to satellite at lower elevation</t>
  </si>
  <si>
    <t xml:space="preserve">    θ = angular separation (4.25° for this analysis)</t>
  </si>
  <si>
    <t>Duration:</t>
  </si>
  <si>
    <t xml:space="preserve">  Duration = Separation_Distance / Satellite_Velocity</t>
  </si>
  <si>
    <t>Repeat Cycle:</t>
  </si>
  <si>
    <t xml:space="preserve">  Repeat_Cycle_Orbits = Duration / |Period_Sat1 - Period_Sat2|</t>
  </si>
  <si>
    <t xml:space="preserve">  Repeat_Cycle_Days = Repeat_Cycle_Orbits / Mean_Motion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</si>
</sst>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2"/>
      <color rgb="FFC00000"/>
      <name val="Calibri"/>
    </font>
    <font>
      <b/>
      <sz val="11"/>
      <color rgb="FF1F4E78"/>
      <name val="Calibri"/>
    </font>
    <font>
      <sz val="10"/>
      <name val="Courier New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 applyAlignment="1">
      <alignment horizontal="center" wrapText="1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0" xfId="0" applyFont="1"/>
    <xf numFmtId="0" fontId="3" fillId="0" borderId="0" xfId="0" applyFont="1"/>
    <xf numFmtId="0" fontId="6" fillId="0" borderId="0" xfId="0" applyFont="1"/>
    <xf numFmtId="0" fontId="8" fillId="0" borderId="0" xfId="0" applyFont="1"/>
    <xf numFmtId="0" fontId="5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F14" sqref="F14"/>
    </sheetView>
  </sheetViews>
  <sheetFormatPr defaultRowHeight="15" x14ac:dyDescent="0.25"/>
  <cols>
    <col min="1" max="5" width="20" customWidth="1"/>
  </cols>
  <sheetData>
    <row r="1" spans="1:5" ht="18.75" x14ac:dyDescent="0.3">
      <c r="A1" s="9" t="s">
        <v>0</v>
      </c>
      <c r="B1" s="10"/>
      <c r="C1" s="10"/>
      <c r="D1" s="10"/>
    </row>
    <row r="3" spans="1:5" ht="15.75" x14ac:dyDescent="0.25">
      <c r="A3" s="1" t="s">
        <v>1</v>
      </c>
    </row>
    <row r="4" spans="1:5" x14ac:dyDescent="0.25">
      <c r="A4" s="2" t="s">
        <v>2</v>
      </c>
      <c r="B4" s="2" t="s">
        <v>3</v>
      </c>
      <c r="C4" s="2" t="s">
        <v>4</v>
      </c>
      <c r="D4" s="2" t="s">
        <v>5</v>
      </c>
    </row>
    <row r="5" spans="1:5" x14ac:dyDescent="0.25">
      <c r="A5" t="s">
        <v>6</v>
      </c>
      <c r="B5" t="s">
        <v>7</v>
      </c>
      <c r="C5">
        <v>6378</v>
      </c>
      <c r="D5" t="s">
        <v>8</v>
      </c>
    </row>
    <row r="6" spans="1:5" x14ac:dyDescent="0.25">
      <c r="A6" t="s">
        <v>9</v>
      </c>
      <c r="B6" t="s">
        <v>10</v>
      </c>
      <c r="C6">
        <v>14.109500000000001</v>
      </c>
      <c r="D6" t="s">
        <v>11</v>
      </c>
    </row>
    <row r="8" spans="1:5" ht="15.75" x14ac:dyDescent="0.25">
      <c r="A8" s="1" t="s">
        <v>12</v>
      </c>
    </row>
    <row r="9" spans="1:5" x14ac:dyDescent="0.25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</row>
    <row r="10" spans="1:5" x14ac:dyDescent="0.25">
      <c r="A10" t="s">
        <v>18</v>
      </c>
      <c r="B10">
        <v>858.8</v>
      </c>
      <c r="C10">
        <v>7.423</v>
      </c>
      <c r="D10">
        <v>6123.53</v>
      </c>
      <c r="E10">
        <v>14.109500000000001</v>
      </c>
    </row>
    <row r="11" spans="1:5" x14ac:dyDescent="0.25">
      <c r="A11" t="s">
        <v>19</v>
      </c>
      <c r="B11">
        <v>856.6</v>
      </c>
      <c r="C11">
        <v>7.423</v>
      </c>
      <c r="D11">
        <v>6124.83</v>
      </c>
      <c r="E11">
        <v>14.109500000000001</v>
      </c>
    </row>
    <row r="12" spans="1:5" x14ac:dyDescent="0.25">
      <c r="A12" t="s">
        <v>20</v>
      </c>
      <c r="B12">
        <v>822.4</v>
      </c>
      <c r="C12">
        <v>7.4459999999999997</v>
      </c>
      <c r="D12">
        <v>6103.9</v>
      </c>
      <c r="E12">
        <v>14.154299999999999</v>
      </c>
    </row>
    <row r="13" spans="1:5" x14ac:dyDescent="0.25">
      <c r="A13" t="s">
        <v>21</v>
      </c>
      <c r="B13">
        <v>813.6</v>
      </c>
      <c r="C13">
        <v>7.4409999999999998</v>
      </c>
      <c r="D13">
        <v>6114.9</v>
      </c>
      <c r="E13">
        <v>14.141</v>
      </c>
    </row>
    <row r="14" spans="1:5" x14ac:dyDescent="0.25">
      <c r="A14" t="s">
        <v>22</v>
      </c>
      <c r="B14">
        <v>853.8</v>
      </c>
      <c r="C14">
        <v>7.4470000000000001</v>
      </c>
      <c r="D14">
        <v>6102</v>
      </c>
      <c r="E14">
        <v>14.1586</v>
      </c>
    </row>
    <row r="15" spans="1:5" x14ac:dyDescent="0.25">
      <c r="A15" t="s">
        <v>23</v>
      </c>
      <c r="B15">
        <v>810.6</v>
      </c>
      <c r="C15">
        <v>7.4480000000000004</v>
      </c>
      <c r="D15">
        <v>6153.2</v>
      </c>
      <c r="E15">
        <v>14.291499999999999</v>
      </c>
    </row>
    <row r="17" spans="1:6" ht="15.75" x14ac:dyDescent="0.25">
      <c r="A17" s="1" t="s">
        <v>24</v>
      </c>
    </row>
    <row r="18" spans="1:6" x14ac:dyDescent="0.25">
      <c r="A18" s="2" t="s">
        <v>25</v>
      </c>
      <c r="B18" s="2" t="s">
        <v>26</v>
      </c>
      <c r="C18" s="2" t="s">
        <v>27</v>
      </c>
      <c r="D18" s="2" t="s">
        <v>28</v>
      </c>
      <c r="E18" s="2" t="s">
        <v>29</v>
      </c>
    </row>
    <row r="19" spans="1:6" x14ac:dyDescent="0.25">
      <c r="A19" t="s">
        <v>30</v>
      </c>
      <c r="B19">
        <v>9.25</v>
      </c>
      <c r="C19">
        <v>9.25</v>
      </c>
      <c r="D19">
        <v>5</v>
      </c>
      <c r="E19">
        <v>4.25</v>
      </c>
      <c r="F19" t="s">
        <v>31</v>
      </c>
    </row>
    <row r="20" spans="1:6" x14ac:dyDescent="0.25">
      <c r="A20" t="s">
        <v>32</v>
      </c>
      <c r="B20">
        <v>11.25</v>
      </c>
      <c r="C20">
        <v>11.25</v>
      </c>
      <c r="D20">
        <v>7</v>
      </c>
      <c r="E20">
        <v>4.25</v>
      </c>
      <c r="F20" t="s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sqref="A1:D1"/>
    </sheetView>
  </sheetViews>
  <sheetFormatPr defaultRowHeight="15" x14ac:dyDescent="0.25"/>
  <cols>
    <col min="1" max="4" width="28" customWidth="1"/>
  </cols>
  <sheetData>
    <row r="1" spans="1:4" ht="15.75" x14ac:dyDescent="0.25">
      <c r="A1" s="11" t="s">
        <v>34</v>
      </c>
      <c r="B1" s="10"/>
      <c r="C1" s="10"/>
      <c r="D1" s="10"/>
    </row>
    <row r="3" spans="1:4" x14ac:dyDescent="0.25">
      <c r="A3" s="3" t="s">
        <v>13</v>
      </c>
      <c r="B3" s="3" t="s">
        <v>35</v>
      </c>
      <c r="C3" s="3" t="s">
        <v>36</v>
      </c>
      <c r="D3" s="3" t="s">
        <v>37</v>
      </c>
    </row>
    <row r="4" spans="1:4" x14ac:dyDescent="0.25">
      <c r="A4" t="s">
        <v>18</v>
      </c>
      <c r="B4" s="4">
        <f>-Parameters!$C$5*SIN(RADIANS(Parameters!$C$19)) + SQRT((Parameters!$C$5*SIN(RADIANS(Parameters!$C$19)))^2 + 2*Parameters!$C$5*Parameters!$B$10 + Parameters!$B$10^2)</f>
        <v>2544.5819861767832</v>
      </c>
      <c r="C4" s="4"/>
      <c r="D4" s="4"/>
    </row>
    <row r="5" spans="1:4" x14ac:dyDescent="0.25">
      <c r="A5" t="s">
        <v>19</v>
      </c>
      <c r="B5" s="4"/>
      <c r="C5" s="4">
        <f>-Parameters!$C$5*SIN(RADIANS(Parameters!$D$19)) + SQRT((Parameters!$C$5*SIN(RADIANS(Parameters!$D$19)))^2 + 2*Parameters!$C$5*Parameters!$B$11 + Parameters!$B$11^2)</f>
        <v>2903.8251379457606</v>
      </c>
      <c r="D5" s="4">
        <f>SQRT(B4^2 + C5^2 - 2*B4*C5*COS(RADIANS(Parameters!$E$19)))</f>
        <v>411.93752310091617</v>
      </c>
    </row>
    <row r="6" spans="1:4" x14ac:dyDescent="0.25">
      <c r="A6" t="s">
        <v>20</v>
      </c>
      <c r="B6" s="4">
        <f>-Parameters!$C$5*SIN(RADIANS(Parameters!$C$19)) + SQRT((Parameters!$C$5*SIN(RADIANS(Parameters!$C$19)))^2 + 2*Parameters!$C$5*Parameters!$B$12 + Parameters!$B$12^2)</f>
        <v>2470.2015136200307</v>
      </c>
      <c r="C6" s="4"/>
      <c r="D6" s="4"/>
    </row>
    <row r="7" spans="1:4" x14ac:dyDescent="0.25">
      <c r="A7" t="s">
        <v>21</v>
      </c>
      <c r="B7" s="4"/>
      <c r="C7" s="4">
        <f>-Parameters!$C$5*SIN(RADIANS(Parameters!$D$19)) + SQRT((Parameters!$C$5*SIN(RADIANS(Parameters!$D$19)))^2 + 2*Parameters!$C$5*Parameters!$B$13 + Parameters!$B$13^2)</f>
        <v>2812.9822588788361</v>
      </c>
      <c r="D7" s="4">
        <f>SQRT(B6^2 + C7^2 - 2*B6*C7*COS(RADIANS(Parameters!$E$19)))</f>
        <v>394.60556081809</v>
      </c>
    </row>
    <row r="8" spans="1:4" x14ac:dyDescent="0.25">
      <c r="A8" t="s">
        <v>22</v>
      </c>
      <c r="B8" s="4">
        <f>-Parameters!$C$5*SIN(RADIANS(Parameters!$C$19)) + SQRT((Parameters!$C$5*SIN(RADIANS(Parameters!$C$19)))^2 + 2*Parameters!$C$5*Parameters!$B$14 + Parameters!$B$14^2)</f>
        <v>2534.4349188127953</v>
      </c>
      <c r="C8" s="4"/>
      <c r="D8" s="4"/>
    </row>
    <row r="9" spans="1:4" x14ac:dyDescent="0.25">
      <c r="A9" t="s">
        <v>23</v>
      </c>
      <c r="B9" s="4"/>
      <c r="C9" s="4">
        <f>-Parameters!$C$5*SIN(RADIANS(Parameters!$D$19)) + SQRT((Parameters!$C$5*SIN(RADIANS(Parameters!$D$19)))^2 + 2*Parameters!$C$5*Parameters!$B$15 + Parameters!$B$15^2)</f>
        <v>2806.5733172484215</v>
      </c>
      <c r="D9" s="4">
        <f>SQRT(B8^2 + C9^2 - 2*B8*C9*COS(RADIANS(Parameters!$E$19)))</f>
        <v>336.42027353460605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activeCell="C49" sqref="C49"/>
    </sheetView>
  </sheetViews>
  <sheetFormatPr defaultRowHeight="15" x14ac:dyDescent="0.25"/>
  <cols>
    <col min="1" max="5" width="24" customWidth="1"/>
  </cols>
  <sheetData>
    <row r="1" spans="1:5" ht="15.75" x14ac:dyDescent="0.25">
      <c r="A1" s="11" t="s">
        <v>38</v>
      </c>
      <c r="B1" s="10"/>
      <c r="C1" s="10"/>
      <c r="D1" s="10"/>
      <c r="E1" s="10"/>
    </row>
    <row r="3" spans="1:5" ht="30" x14ac:dyDescent="0.25">
      <c r="A3" s="3" t="s">
        <v>13</v>
      </c>
      <c r="B3" s="3" t="s">
        <v>15</v>
      </c>
      <c r="C3" s="3" t="s">
        <v>39</v>
      </c>
      <c r="D3" s="3" t="s">
        <v>40</v>
      </c>
      <c r="E3" s="3" t="s">
        <v>41</v>
      </c>
    </row>
    <row r="4" spans="1:5" x14ac:dyDescent="0.25">
      <c r="A4" t="s">
        <v>18</v>
      </c>
      <c r="B4" s="5">
        <f>Parameters!$C$10</f>
        <v>7.423</v>
      </c>
      <c r="C4" s="4">
        <f>Table_9.5_Original!D5 / B4</f>
        <v>55.494749171617428</v>
      </c>
      <c r="D4" s="4">
        <f>C4 / ABS((Parameters!$D$10 - Parameters!$D$11))</f>
        <v>42.688268593545892</v>
      </c>
      <c r="E4" s="6">
        <f>D4 / Parameters!$C$6</f>
        <v>3.0254983233669437</v>
      </c>
    </row>
    <row r="5" spans="1:5" x14ac:dyDescent="0.25">
      <c r="A5" t="s">
        <v>19</v>
      </c>
      <c r="B5" s="5">
        <f>Parameters!$C$11</f>
        <v>7.423</v>
      </c>
      <c r="C5" s="4"/>
      <c r="D5" s="4"/>
      <c r="E5" s="6"/>
    </row>
    <row r="6" spans="1:5" x14ac:dyDescent="0.25">
      <c r="A6" t="s">
        <v>20</v>
      </c>
      <c r="B6" s="5">
        <f>Parameters!$C$12</f>
        <v>7.4459999999999997</v>
      </c>
      <c r="C6" s="4">
        <f>Table_9.5_Original!D7 / B6</f>
        <v>52.995643408284984</v>
      </c>
      <c r="D6" s="4">
        <f>C6 / ABS((Parameters!$D$12 - Parameters!$D$13))</f>
        <v>4.8177857643895443</v>
      </c>
      <c r="E6" s="6">
        <f>D6 / Parameters!$C$6</f>
        <v>0.34145687404865827</v>
      </c>
    </row>
    <row r="7" spans="1:5" x14ac:dyDescent="0.25">
      <c r="A7" t="s">
        <v>21</v>
      </c>
      <c r="B7" s="5">
        <f>Parameters!$C$13</f>
        <v>7.4409999999999998</v>
      </c>
      <c r="C7" s="4"/>
      <c r="D7" s="4"/>
      <c r="E7" s="6"/>
    </row>
    <row r="8" spans="1:5" x14ac:dyDescent="0.25">
      <c r="A8" t="s">
        <v>22</v>
      </c>
      <c r="B8" s="5">
        <f>Parameters!$C$14</f>
        <v>7.4470000000000001</v>
      </c>
      <c r="C8" s="4">
        <f>Table_9.5_Original!D9 / B8</f>
        <v>45.175275081859276</v>
      </c>
      <c r="D8" s="4">
        <f>C8 / ABS((Parameters!$D$14 - Parameters!$D$15))</f>
        <v>0.88232959144256706</v>
      </c>
      <c r="E8" s="6">
        <f>D8 / Parameters!$C$6</f>
        <v>6.2534433639928208E-2</v>
      </c>
    </row>
    <row r="9" spans="1:5" x14ac:dyDescent="0.25">
      <c r="A9" t="s">
        <v>23</v>
      </c>
      <c r="B9" s="5">
        <f>Parameters!$C$15</f>
        <v>7.4480000000000004</v>
      </c>
      <c r="C9" s="4"/>
      <c r="D9" s="4"/>
      <c r="E9" s="6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>
      <selection activeCell="C48" sqref="C48"/>
    </sheetView>
  </sheetViews>
  <sheetFormatPr defaultRowHeight="15" x14ac:dyDescent="0.25"/>
  <cols>
    <col min="1" max="4" width="28" customWidth="1"/>
  </cols>
  <sheetData>
    <row r="1" spans="1:4" ht="15.75" x14ac:dyDescent="0.25">
      <c r="A1" s="11" t="s">
        <v>42</v>
      </c>
      <c r="B1" s="10"/>
      <c r="C1" s="10"/>
      <c r="D1" s="10"/>
    </row>
    <row r="3" spans="1:4" x14ac:dyDescent="0.25">
      <c r="A3" s="7" t="s">
        <v>13</v>
      </c>
      <c r="B3" s="7" t="s">
        <v>43</v>
      </c>
      <c r="C3" s="7" t="s">
        <v>44</v>
      </c>
      <c r="D3" s="7" t="s">
        <v>37</v>
      </c>
    </row>
    <row r="4" spans="1:4" x14ac:dyDescent="0.25">
      <c r="A4" t="s">
        <v>18</v>
      </c>
      <c r="B4" s="4">
        <f>-Parameters!$C$5*SIN(RADIANS(Parameters!$C$20)) + SQRT((Parameters!$C$5*SIN(RADIANS(Parameters!$C$20)))^2 + 2*Parameters!$C$5*Parameters!$B$10 + Parameters!$B$10^2)</f>
        <v>2394.4826840853189</v>
      </c>
      <c r="C4" s="4"/>
      <c r="D4" s="4"/>
    </row>
    <row r="5" spans="1:4" x14ac:dyDescent="0.25">
      <c r="A5" t="s">
        <v>19</v>
      </c>
      <c r="B5" s="4"/>
      <c r="C5" s="4">
        <f>-Parameters!$C$5*SIN(RADIANS(Parameters!$D$20)) + SQRT((Parameters!$C$5*SIN(RADIANS(Parameters!$D$20)))^2 + 2*Parameters!$C$5*Parameters!$B$11 + Parameters!$B$11^2)</f>
        <v>2724.8197695191343</v>
      </c>
      <c r="D5" s="4">
        <f>SQRT(B4^2 + C5^2 - 2*B4*C5*COS(RADIANS(Parameters!$E$20)))</f>
        <v>380.79536537586682</v>
      </c>
    </row>
    <row r="6" spans="1:4" x14ac:dyDescent="0.25">
      <c r="A6" t="s">
        <v>20</v>
      </c>
      <c r="B6" s="4">
        <f>-Parameters!$C$5*SIN(RADIANS(Parameters!$C$20)) + SQRT((Parameters!$C$5*SIN(RADIANS(Parameters!$C$20)))^2 + 2*Parameters!$C$5*Parameters!$B$12 + Parameters!$B$12^2)</f>
        <v>2321.541178516778</v>
      </c>
      <c r="C6" s="4"/>
      <c r="D6" s="4"/>
    </row>
    <row r="7" spans="1:4" x14ac:dyDescent="0.25">
      <c r="A7" t="s">
        <v>21</v>
      </c>
      <c r="B7" s="4"/>
      <c r="C7" s="4">
        <f>-Parameters!$C$5*SIN(RADIANS(Parameters!$D$20)) + SQRT((Parameters!$C$5*SIN(RADIANS(Parameters!$D$20)))^2 + 2*Parameters!$C$5*Parameters!$B$13 + Parameters!$B$13^2)</f>
        <v>2635.1057746656179</v>
      </c>
      <c r="D7" s="4">
        <f>SQRT(B6^2 + C7^2 - 2*B6*C7*COS(RADIANS(Parameters!$E$20)))</f>
        <v>363.27231848068317</v>
      </c>
    </row>
    <row r="8" spans="1:4" x14ac:dyDescent="0.25">
      <c r="A8" t="s">
        <v>22</v>
      </c>
      <c r="B8" s="4">
        <f>-Parameters!$C$5*SIN(RADIANS(Parameters!$C$20)) + SQRT((Parameters!$C$5*SIN(RADIANS(Parameters!$C$20)))^2 + 2*Parameters!$C$5*Parameters!$B$14 + Parameters!$B$14^2)</f>
        <v>2384.528481032286</v>
      </c>
      <c r="C8" s="4"/>
      <c r="D8" s="4"/>
    </row>
    <row r="9" spans="1:4" x14ac:dyDescent="0.25">
      <c r="A9" t="s">
        <v>23</v>
      </c>
      <c r="B9" s="4"/>
      <c r="C9" s="4">
        <f>-Parameters!$C$5*SIN(RADIANS(Parameters!$D$20)) + SQRT((Parameters!$C$5*SIN(RADIANS(Parameters!$D$20)))^2 + 2*Parameters!$C$5*Parameters!$B$15 + Parameters!$B$15^2)</f>
        <v>2628.7787353941767</v>
      </c>
      <c r="D9" s="4">
        <f>SQRT(B8^2 + C9^2 - 2*B8*C9*COS(RADIANS(Parameters!$E$20)))</f>
        <v>306.8094749323742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sqref="A1:E1"/>
    </sheetView>
  </sheetViews>
  <sheetFormatPr defaultRowHeight="15" x14ac:dyDescent="0.25"/>
  <cols>
    <col min="1" max="5" width="24" customWidth="1"/>
  </cols>
  <sheetData>
    <row r="1" spans="1:5" ht="15.75" x14ac:dyDescent="0.25">
      <c r="A1" s="11" t="s">
        <v>45</v>
      </c>
      <c r="B1" s="10"/>
      <c r="C1" s="10"/>
      <c r="D1" s="10"/>
      <c r="E1" s="10"/>
    </row>
    <row r="3" spans="1:5" ht="30" x14ac:dyDescent="0.25">
      <c r="A3" s="7" t="s">
        <v>13</v>
      </c>
      <c r="B3" s="7" t="s">
        <v>15</v>
      </c>
      <c r="C3" s="7" t="s">
        <v>39</v>
      </c>
      <c r="D3" s="7" t="s">
        <v>40</v>
      </c>
      <c r="E3" s="7" t="s">
        <v>41</v>
      </c>
    </row>
    <row r="4" spans="1:5" x14ac:dyDescent="0.25">
      <c r="A4" t="s">
        <v>18</v>
      </c>
      <c r="B4" s="5">
        <f>Parameters!$C$10</f>
        <v>7.423</v>
      </c>
      <c r="C4" s="4">
        <f>Table_9.5_Modified!D5 / B4</f>
        <v>51.299389111661974</v>
      </c>
      <c r="D4" s="4">
        <f>C4 / ABS((Parameters!$D$10 - Parameters!$D$11))</f>
        <v>39.461068547426763</v>
      </c>
      <c r="E4" s="6">
        <f>D4 / Parameters!$C$6</f>
        <v>2.7967729931908827</v>
      </c>
    </row>
    <row r="5" spans="1:5" x14ac:dyDescent="0.25">
      <c r="A5" t="s">
        <v>19</v>
      </c>
      <c r="B5" s="5">
        <f>Parameters!$C$11</f>
        <v>7.423</v>
      </c>
      <c r="C5" s="4"/>
      <c r="D5" s="4"/>
      <c r="E5" s="6"/>
    </row>
    <row r="6" spans="1:5" x14ac:dyDescent="0.25">
      <c r="A6" t="s">
        <v>20</v>
      </c>
      <c r="B6" s="5">
        <f>Parameters!$C$12</f>
        <v>7.4459999999999997</v>
      </c>
      <c r="C6" s="4">
        <f>Table_9.5_Modified!D7 / B6</f>
        <v>48.787579704631099</v>
      </c>
      <c r="D6" s="4">
        <f>C6 / ABS((Parameters!$D$12 - Parameters!$D$13))</f>
        <v>4.4352345186028268</v>
      </c>
      <c r="E6" s="6">
        <f>D6 / Parameters!$C$6</f>
        <v>0.31434384766312246</v>
      </c>
    </row>
    <row r="7" spans="1:5" x14ac:dyDescent="0.25">
      <c r="A7" t="s">
        <v>21</v>
      </c>
      <c r="B7" s="5">
        <f>Parameters!$C$13</f>
        <v>7.4409999999999998</v>
      </c>
      <c r="C7" s="4"/>
      <c r="D7" s="4"/>
      <c r="E7" s="6"/>
    </row>
    <row r="8" spans="1:5" x14ac:dyDescent="0.25">
      <c r="A8" t="s">
        <v>22</v>
      </c>
      <c r="B8" s="5">
        <f>Parameters!$C$14</f>
        <v>7.4470000000000001</v>
      </c>
      <c r="C8" s="4">
        <f>Table_9.5_Modified!D9 / B8</f>
        <v>41.199070086259461</v>
      </c>
      <c r="D8" s="4">
        <f>C8 / ABS((Parameters!$D$14 - Parameters!$D$15))</f>
        <v>0.8046693376222579</v>
      </c>
      <c r="E8" s="6">
        <f>D8 / Parameters!$C$6</f>
        <v>5.7030322663613728E-2</v>
      </c>
    </row>
    <row r="9" spans="1:5" x14ac:dyDescent="0.25">
      <c r="A9" t="s">
        <v>23</v>
      </c>
      <c r="B9" s="5">
        <f>Parameters!$C$15</f>
        <v>7.4480000000000004</v>
      </c>
      <c r="C9" s="4"/>
      <c r="D9" s="4"/>
      <c r="E9" s="6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0"/>
  <sheetViews>
    <sheetView workbookViewId="0">
      <selection activeCell="A22" sqref="A22:G22"/>
    </sheetView>
  </sheetViews>
  <sheetFormatPr defaultRowHeight="15" x14ac:dyDescent="0.25"/>
  <cols>
    <col min="1" max="1" width="20" customWidth="1"/>
    <col min="2" max="6" width="15" customWidth="1"/>
    <col min="7" max="7" width="40" customWidth="1"/>
  </cols>
  <sheetData>
    <row r="1" spans="1:7" ht="18.75" x14ac:dyDescent="0.3">
      <c r="A1" s="9" t="s">
        <v>46</v>
      </c>
      <c r="B1" s="10"/>
      <c r="C1" s="10"/>
      <c r="D1" s="10"/>
      <c r="E1" s="10"/>
      <c r="F1" s="10"/>
      <c r="G1" s="10"/>
    </row>
    <row r="3" spans="1:7" x14ac:dyDescent="0.25">
      <c r="A3" s="8" t="s">
        <v>2</v>
      </c>
      <c r="B3" s="8" t="s">
        <v>47</v>
      </c>
      <c r="C3" s="8" t="s">
        <v>30</v>
      </c>
      <c r="D3" s="8" t="s">
        <v>32</v>
      </c>
      <c r="E3" s="8" t="s">
        <v>48</v>
      </c>
      <c r="F3" s="8" t="s">
        <v>49</v>
      </c>
      <c r="G3" s="8" t="s">
        <v>50</v>
      </c>
    </row>
    <row r="4" spans="1:7" x14ac:dyDescent="0.25">
      <c r="A4" t="s">
        <v>51</v>
      </c>
      <c r="B4" t="s">
        <v>52</v>
      </c>
      <c r="C4" s="6">
        <f>Table_9.5_Original!D5</f>
        <v>411.93752310091617</v>
      </c>
      <c r="D4" s="6">
        <f>Table_9.5_Modified!D5</f>
        <v>380.79536537586682</v>
      </c>
      <c r="E4" s="6">
        <f>D4-C4</f>
        <v>-31.142157725049344</v>
      </c>
      <c r="F4" s="4">
        <f>(E4/C4)*100</f>
        <v>-7.5599225558823786</v>
      </c>
      <c r="G4" t="s">
        <v>53</v>
      </c>
    </row>
    <row r="5" spans="1:7" x14ac:dyDescent="0.25">
      <c r="A5" t="s">
        <v>51</v>
      </c>
      <c r="B5" t="s">
        <v>54</v>
      </c>
      <c r="C5" s="6">
        <f>Table_9.5_Original!D7</f>
        <v>394.60556081809</v>
      </c>
      <c r="D5" s="6">
        <f>Table_9.5_Modified!D7</f>
        <v>363.27231848068317</v>
      </c>
      <c r="E5" s="6">
        <f>D5-C5</f>
        <v>-31.33324233740683</v>
      </c>
      <c r="F5" s="4">
        <f>(E5/C5)*100</f>
        <v>-7.9403955363546439</v>
      </c>
      <c r="G5" t="s">
        <v>53</v>
      </c>
    </row>
    <row r="6" spans="1:7" x14ac:dyDescent="0.25">
      <c r="A6" t="s">
        <v>51</v>
      </c>
      <c r="B6" t="s">
        <v>55</v>
      </c>
      <c r="C6" s="6">
        <f>Table_9.5_Original!D9</f>
        <v>336.42027353460605</v>
      </c>
      <c r="D6" s="6">
        <f>Table_9.5_Modified!D9</f>
        <v>306.8094749323742</v>
      </c>
      <c r="E6" s="6">
        <f>D6-C6</f>
        <v>-29.610798602231853</v>
      </c>
      <c r="F6" s="4">
        <f>(E6/C6)*100</f>
        <v>-8.8017283533853146</v>
      </c>
      <c r="G6" t="s">
        <v>53</v>
      </c>
    </row>
    <row r="7" spans="1:7" x14ac:dyDescent="0.25">
      <c r="C7" s="6"/>
      <c r="D7" s="6"/>
      <c r="E7" s="6"/>
      <c r="F7" s="4"/>
    </row>
    <row r="8" spans="1:7" x14ac:dyDescent="0.25">
      <c r="A8" t="s">
        <v>39</v>
      </c>
      <c r="B8" t="s">
        <v>52</v>
      </c>
      <c r="C8" s="6">
        <f>Table_9.6_Original!C4</f>
        <v>55.494749171617428</v>
      </c>
      <c r="D8" s="6">
        <f>Table_9.6_Modified!C4</f>
        <v>51.299389111661974</v>
      </c>
      <c r="E8" s="6">
        <f>D8-C8</f>
        <v>-4.1953600599554548</v>
      </c>
      <c r="F8" s="4">
        <f>(E8/C8)*100</f>
        <v>-7.5599225558823768</v>
      </c>
      <c r="G8" t="s">
        <v>56</v>
      </c>
    </row>
    <row r="9" spans="1:7" x14ac:dyDescent="0.25">
      <c r="A9" t="s">
        <v>39</v>
      </c>
      <c r="B9" t="s">
        <v>54</v>
      </c>
      <c r="C9" s="6">
        <f>Table_9.6_Original!C6</f>
        <v>52.995643408284984</v>
      </c>
      <c r="D9" s="6">
        <f>Table_9.6_Modified!C6</f>
        <v>48.787579704631099</v>
      </c>
      <c r="E9" s="6">
        <f>D9-C9</f>
        <v>-4.2080637036538846</v>
      </c>
      <c r="F9" s="4">
        <f>(E9/C9)*100</f>
        <v>-7.940395536354643</v>
      </c>
      <c r="G9" t="s">
        <v>56</v>
      </c>
    </row>
    <row r="10" spans="1:7" x14ac:dyDescent="0.25">
      <c r="A10" t="s">
        <v>39</v>
      </c>
      <c r="B10" t="s">
        <v>55</v>
      </c>
      <c r="C10" s="6">
        <f>Table_9.6_Original!C8</f>
        <v>45.175275081859276</v>
      </c>
      <c r="D10" s="6">
        <f>Table_9.6_Modified!C8</f>
        <v>41.199070086259461</v>
      </c>
      <c r="E10" s="6">
        <f>D10-C10</f>
        <v>-3.9762049955998151</v>
      </c>
      <c r="F10" s="4">
        <f>(E10/C10)*100</f>
        <v>-8.8017283533853057</v>
      </c>
      <c r="G10" t="s">
        <v>56</v>
      </c>
    </row>
    <row r="11" spans="1:7" x14ac:dyDescent="0.25">
      <c r="C11" s="6"/>
      <c r="D11" s="6"/>
      <c r="E11" s="6"/>
      <c r="F11" s="4"/>
    </row>
    <row r="12" spans="1:7" x14ac:dyDescent="0.25">
      <c r="A12" t="s">
        <v>57</v>
      </c>
      <c r="B12" t="s">
        <v>52</v>
      </c>
      <c r="C12" s="6">
        <f>Table_9.6_Original!E4</f>
        <v>3.0254983233669437</v>
      </c>
      <c r="D12" s="6">
        <f>Table_9.6_Modified!E4</f>
        <v>2.7967729931908827</v>
      </c>
      <c r="E12" s="6">
        <f>D12-C12</f>
        <v>-0.228725330176061</v>
      </c>
      <c r="F12" s="4">
        <f>(E12/C12)*100</f>
        <v>-7.5599225558823866</v>
      </c>
      <c r="G12" t="s">
        <v>58</v>
      </c>
    </row>
    <row r="13" spans="1:7" x14ac:dyDescent="0.25">
      <c r="A13" t="s">
        <v>57</v>
      </c>
      <c r="B13" t="s">
        <v>54</v>
      </c>
      <c r="C13" s="6">
        <f>Table_9.6_Original!E6</f>
        <v>0.34145687404865827</v>
      </c>
      <c r="D13" s="6">
        <f>Table_9.6_Modified!E6</f>
        <v>0.31434384766312246</v>
      </c>
      <c r="E13" s="6">
        <f>D13-C13</f>
        <v>-2.711302638553581E-2</v>
      </c>
      <c r="F13" s="4">
        <f>(E13/C13)*100</f>
        <v>-7.940395536354659</v>
      </c>
      <c r="G13" t="s">
        <v>58</v>
      </c>
    </row>
    <row r="14" spans="1:7" x14ac:dyDescent="0.25">
      <c r="A14" t="s">
        <v>57</v>
      </c>
      <c r="B14" t="s">
        <v>55</v>
      </c>
      <c r="C14" s="6">
        <f>Table_9.6_Original!E8</f>
        <v>6.2534433639928208E-2</v>
      </c>
      <c r="D14" s="6">
        <f>Table_9.6_Modified!E8</f>
        <v>5.7030322663613728E-2</v>
      </c>
      <c r="E14" s="6">
        <f>D14-C14</f>
        <v>-5.5041109763144802E-3</v>
      </c>
      <c r="F14" s="4">
        <f>(E14/C14)*100</f>
        <v>-8.8017283533853057</v>
      </c>
      <c r="G14" t="s">
        <v>58</v>
      </c>
    </row>
    <row r="15" spans="1:7" ht="15.75" x14ac:dyDescent="0.25">
      <c r="A15" s="1" t="s">
        <v>59</v>
      </c>
    </row>
    <row r="16" spans="1:7" x14ac:dyDescent="0.25">
      <c r="A16" s="10"/>
      <c r="B16" s="10"/>
      <c r="C16" s="10"/>
      <c r="D16" s="10"/>
      <c r="E16" s="10"/>
      <c r="F16" s="10"/>
      <c r="G16" s="10"/>
    </row>
    <row r="17" spans="1:7" x14ac:dyDescent="0.25">
      <c r="A17" s="12" t="s">
        <v>60</v>
      </c>
      <c r="B17" s="10"/>
      <c r="C17" s="10"/>
      <c r="D17" s="10"/>
      <c r="E17" s="10"/>
      <c r="F17" s="10"/>
      <c r="G17" s="10"/>
    </row>
    <row r="18" spans="1:7" x14ac:dyDescent="0.25">
      <c r="A18" s="13" t="s">
        <v>61</v>
      </c>
      <c r="B18" s="10"/>
      <c r="C18" s="10"/>
      <c r="D18" s="10"/>
      <c r="E18" s="10"/>
      <c r="F18" s="10"/>
      <c r="G18" s="10"/>
    </row>
    <row r="19" spans="1:7" x14ac:dyDescent="0.25">
      <c r="A19" s="13" t="s">
        <v>62</v>
      </c>
      <c r="B19" s="10"/>
      <c r="C19" s="10"/>
      <c r="D19" s="10"/>
      <c r="E19" s="10"/>
      <c r="F19" s="10"/>
      <c r="G19" s="10"/>
    </row>
    <row r="20" spans="1:7" x14ac:dyDescent="0.25">
      <c r="A20" s="13" t="s">
        <v>63</v>
      </c>
      <c r="B20" s="10"/>
      <c r="C20" s="10"/>
      <c r="D20" s="10"/>
      <c r="E20" s="10"/>
      <c r="F20" s="10"/>
      <c r="G20" s="10"/>
    </row>
    <row r="21" spans="1:7" x14ac:dyDescent="0.25">
      <c r="A21" s="10"/>
      <c r="B21" s="10"/>
      <c r="C21" s="10"/>
      <c r="D21" s="10"/>
      <c r="E21" s="10"/>
      <c r="F21" s="10"/>
      <c r="G21" s="10"/>
    </row>
    <row r="22" spans="1:7" x14ac:dyDescent="0.25">
      <c r="A22" s="12" t="s">
        <v>64</v>
      </c>
      <c r="B22" s="10"/>
      <c r="C22" s="10"/>
      <c r="D22" s="10"/>
      <c r="E22" s="10"/>
      <c r="F22" s="10"/>
      <c r="G22" s="10"/>
    </row>
    <row r="23" spans="1:7" x14ac:dyDescent="0.25">
      <c r="A23" s="13" t="s">
        <v>65</v>
      </c>
      <c r="B23" s="10"/>
      <c r="C23" s="10"/>
      <c r="D23" s="10"/>
      <c r="E23" s="10"/>
      <c r="F23" s="10"/>
      <c r="G23" s="10"/>
    </row>
    <row r="24" spans="1:7" x14ac:dyDescent="0.25">
      <c r="A24" s="13" t="s">
        <v>66</v>
      </c>
      <c r="B24" s="10"/>
      <c r="C24" s="10"/>
      <c r="D24" s="10"/>
      <c r="E24" s="10"/>
      <c r="F24" s="10"/>
      <c r="G24" s="10"/>
    </row>
    <row r="25" spans="1:7" x14ac:dyDescent="0.25">
      <c r="A25" s="13" t="s">
        <v>67</v>
      </c>
      <c r="B25" s="10"/>
      <c r="C25" s="10"/>
      <c r="D25" s="10"/>
      <c r="E25" s="10"/>
      <c r="F25" s="10"/>
      <c r="G25" s="10"/>
    </row>
    <row r="26" spans="1:7" x14ac:dyDescent="0.25">
      <c r="A26" s="10"/>
      <c r="B26" s="10"/>
      <c r="C26" s="10"/>
      <c r="D26" s="10"/>
      <c r="E26" s="10"/>
      <c r="F26" s="10"/>
      <c r="G26" s="10"/>
    </row>
    <row r="27" spans="1:7" x14ac:dyDescent="0.25">
      <c r="A27" s="12" t="s">
        <v>68</v>
      </c>
      <c r="B27" s="10"/>
      <c r="C27" s="10"/>
      <c r="D27" s="10"/>
      <c r="E27" s="10"/>
      <c r="F27" s="10"/>
      <c r="G27" s="10"/>
    </row>
    <row r="28" spans="1:7" x14ac:dyDescent="0.25">
      <c r="A28" s="13" t="s">
        <v>69</v>
      </c>
      <c r="B28" s="10"/>
      <c r="C28" s="10"/>
      <c r="D28" s="10"/>
      <c r="E28" s="10"/>
      <c r="F28" s="10"/>
      <c r="G28" s="10"/>
    </row>
    <row r="29" spans="1:7" x14ac:dyDescent="0.25">
      <c r="A29" s="13" t="s">
        <v>70</v>
      </c>
      <c r="B29" s="10"/>
      <c r="C29" s="10"/>
      <c r="D29" s="10"/>
      <c r="E29" s="10"/>
      <c r="F29" s="10"/>
      <c r="G29" s="10"/>
    </row>
    <row r="30" spans="1:7" x14ac:dyDescent="0.25">
      <c r="A30" s="13" t="s">
        <v>71</v>
      </c>
      <c r="B30" s="10"/>
      <c r="C30" s="10"/>
      <c r="D30" s="10"/>
      <c r="E30" s="10"/>
      <c r="F30" s="10"/>
      <c r="G30" s="10"/>
    </row>
  </sheetData>
  <mergeCells count="16">
    <mergeCell ref="A29:G29"/>
    <mergeCell ref="A30:G30"/>
    <mergeCell ref="A25:G25"/>
    <mergeCell ref="A19:G19"/>
    <mergeCell ref="A28:G28"/>
    <mergeCell ref="A23:G23"/>
    <mergeCell ref="A1:G1"/>
    <mergeCell ref="A17:G17"/>
    <mergeCell ref="A18:G18"/>
    <mergeCell ref="A27:G27"/>
    <mergeCell ref="A21:G21"/>
    <mergeCell ref="A22:G22"/>
    <mergeCell ref="A20:G20"/>
    <mergeCell ref="A24:G24"/>
    <mergeCell ref="A16:G16"/>
    <mergeCell ref="A26:G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7"/>
  <sheetViews>
    <sheetView tabSelected="1" workbookViewId="0">
      <selection activeCell="A36" sqref="A36:D36"/>
    </sheetView>
  </sheetViews>
  <sheetFormatPr defaultRowHeight="15" x14ac:dyDescent="0.25"/>
  <cols>
    <col min="1" max="1" width="100" customWidth="1"/>
  </cols>
  <sheetData>
    <row r="1" spans="1:4" ht="18.75" x14ac:dyDescent="0.3">
      <c r="A1" s="17" t="s">
        <v>72</v>
      </c>
      <c r="B1" s="10"/>
      <c r="C1" s="10"/>
      <c r="D1" s="10"/>
    </row>
    <row r="3" spans="1:4" ht="15.75" x14ac:dyDescent="0.25">
      <c r="A3" s="15" t="s">
        <v>73</v>
      </c>
      <c r="B3" s="10"/>
      <c r="C3" s="10"/>
      <c r="D3" s="10"/>
    </row>
    <row r="4" spans="1:4" x14ac:dyDescent="0.25">
      <c r="A4" s="10"/>
      <c r="B4" s="10"/>
      <c r="C4" s="10"/>
      <c r="D4" s="10"/>
    </row>
    <row r="5" spans="1:4" x14ac:dyDescent="0.25">
      <c r="A5" s="10" t="s">
        <v>74</v>
      </c>
      <c r="B5" s="10"/>
      <c r="C5" s="10"/>
      <c r="D5" s="10"/>
    </row>
    <row r="6" spans="1:4" x14ac:dyDescent="0.25">
      <c r="A6" s="10" t="s">
        <v>75</v>
      </c>
      <c r="B6" s="10"/>
      <c r="C6" s="10"/>
      <c r="D6" s="10"/>
    </row>
    <row r="7" spans="1:4" x14ac:dyDescent="0.25">
      <c r="A7" s="10" t="s">
        <v>76</v>
      </c>
      <c r="B7" s="10"/>
      <c r="C7" s="10"/>
      <c r="D7" s="10"/>
    </row>
    <row r="8" spans="1:4" x14ac:dyDescent="0.25">
      <c r="A8" s="10"/>
      <c r="B8" s="10"/>
      <c r="C8" s="10"/>
      <c r="D8" s="10"/>
    </row>
    <row r="9" spans="1:4" x14ac:dyDescent="0.25">
      <c r="A9" s="14" t="s">
        <v>77</v>
      </c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4" t="s">
        <v>78</v>
      </c>
      <c r="B11" s="10"/>
      <c r="C11" s="10"/>
      <c r="D11" s="10"/>
    </row>
    <row r="12" spans="1:4" x14ac:dyDescent="0.25">
      <c r="A12" s="14" t="s">
        <v>79</v>
      </c>
      <c r="B12" s="10"/>
      <c r="C12" s="10"/>
      <c r="D12" s="10"/>
    </row>
    <row r="13" spans="1:4" x14ac:dyDescent="0.25">
      <c r="A13" s="14" t="s">
        <v>80</v>
      </c>
      <c r="B13" s="10"/>
      <c r="C13" s="10"/>
      <c r="D13" s="10"/>
    </row>
    <row r="14" spans="1:4" x14ac:dyDescent="0.25">
      <c r="A14" s="14" t="s">
        <v>81</v>
      </c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 t="s">
        <v>82</v>
      </c>
      <c r="B16" s="10"/>
      <c r="C16" s="10"/>
      <c r="D16" s="10"/>
    </row>
    <row r="17" spans="1:4" x14ac:dyDescent="0.25">
      <c r="A17" s="10" t="s">
        <v>83</v>
      </c>
      <c r="B17" s="10"/>
      <c r="C17" s="10"/>
      <c r="D17" s="10"/>
    </row>
    <row r="18" spans="1:4" x14ac:dyDescent="0.25">
      <c r="A18" s="10" t="s">
        <v>84</v>
      </c>
      <c r="B18" s="10"/>
      <c r="C18" s="10"/>
      <c r="D18" s="10"/>
    </row>
    <row r="19" spans="1:4" x14ac:dyDescent="0.25">
      <c r="A19" s="10" t="s">
        <v>85</v>
      </c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 t="s">
        <v>86</v>
      </c>
      <c r="B21" s="10"/>
      <c r="C21" s="10"/>
      <c r="D21" s="10"/>
    </row>
    <row r="22" spans="1:4" x14ac:dyDescent="0.25">
      <c r="A22" s="10" t="s">
        <v>87</v>
      </c>
      <c r="B22" s="10"/>
      <c r="C22" s="10"/>
      <c r="D22" s="10"/>
    </row>
    <row r="24" spans="1:4" ht="15.75" x14ac:dyDescent="0.25">
      <c r="A24" s="15" t="s">
        <v>88</v>
      </c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2" t="s">
        <v>89</v>
      </c>
      <c r="B26" s="10"/>
      <c r="C26" s="10"/>
      <c r="D26" s="10"/>
    </row>
    <row r="27" spans="1:4" x14ac:dyDescent="0.25">
      <c r="A27" s="10" t="s">
        <v>90</v>
      </c>
      <c r="B27" s="10"/>
      <c r="C27" s="10"/>
      <c r="D27" s="10"/>
    </row>
    <row r="28" spans="1:4" x14ac:dyDescent="0.25">
      <c r="A28" s="10" t="s">
        <v>91</v>
      </c>
      <c r="B28" s="10"/>
      <c r="C28" s="10"/>
      <c r="D28" s="10"/>
    </row>
    <row r="29" spans="1:4" x14ac:dyDescent="0.25">
      <c r="A29" s="10" t="s">
        <v>92</v>
      </c>
      <c r="B29" s="10"/>
      <c r="C29" s="10"/>
      <c r="D29" s="10"/>
    </row>
    <row r="30" spans="1:4" x14ac:dyDescent="0.25">
      <c r="A30" s="10" t="s">
        <v>93</v>
      </c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2" t="s">
        <v>94</v>
      </c>
      <c r="B32" s="10"/>
      <c r="C32" s="10"/>
      <c r="D32" s="10"/>
    </row>
    <row r="33" spans="1:4" x14ac:dyDescent="0.25">
      <c r="A33" s="10" t="s">
        <v>95</v>
      </c>
      <c r="B33" s="10"/>
      <c r="C33" s="10"/>
      <c r="D33" s="10"/>
    </row>
    <row r="34" spans="1:4" x14ac:dyDescent="0.25">
      <c r="A34" s="10" t="s">
        <v>96</v>
      </c>
      <c r="B34" s="10"/>
      <c r="C34" s="10"/>
      <c r="D34" s="10"/>
    </row>
    <row r="35" spans="1:4" x14ac:dyDescent="0.25">
      <c r="A35" s="10" t="s">
        <v>97</v>
      </c>
      <c r="B35" s="10"/>
      <c r="C35" s="10"/>
      <c r="D35" s="10"/>
    </row>
    <row r="36" spans="1:4" x14ac:dyDescent="0.25">
      <c r="A36" s="10"/>
      <c r="B36" s="10"/>
      <c r="C36" s="10"/>
      <c r="D36" s="10"/>
    </row>
    <row r="37" spans="1:4" x14ac:dyDescent="0.25">
      <c r="A37" s="12" t="s">
        <v>98</v>
      </c>
      <c r="B37" s="10"/>
      <c r="C37" s="10"/>
      <c r="D37" s="10"/>
    </row>
    <row r="38" spans="1:4" x14ac:dyDescent="0.25">
      <c r="A38" s="10" t="s">
        <v>99</v>
      </c>
      <c r="B38" s="10"/>
      <c r="C38" s="10"/>
      <c r="D38" s="10"/>
    </row>
    <row r="39" spans="1:4" x14ac:dyDescent="0.25">
      <c r="A39" s="10" t="s">
        <v>100</v>
      </c>
      <c r="B39" s="10"/>
      <c r="C39" s="10"/>
      <c r="D39" s="10"/>
    </row>
    <row r="40" spans="1:4" x14ac:dyDescent="0.25">
      <c r="A40" s="10" t="s">
        <v>101</v>
      </c>
      <c r="B40" s="10"/>
      <c r="C40" s="10"/>
      <c r="D40" s="10"/>
    </row>
    <row r="42" spans="1:4" ht="15.75" x14ac:dyDescent="0.25">
      <c r="A42" s="15" t="s">
        <v>102</v>
      </c>
      <c r="B42" s="10"/>
      <c r="C42" s="10"/>
      <c r="D42" s="10"/>
    </row>
    <row r="43" spans="1:4" x14ac:dyDescent="0.25">
      <c r="A43" s="10"/>
      <c r="B43" s="10"/>
      <c r="C43" s="10"/>
      <c r="D43" s="10"/>
    </row>
    <row r="44" spans="1:4" x14ac:dyDescent="0.25">
      <c r="A44" s="12" t="s">
        <v>103</v>
      </c>
      <c r="B44" s="10"/>
      <c r="C44" s="10"/>
      <c r="D44" s="10"/>
    </row>
    <row r="45" spans="1:4" x14ac:dyDescent="0.25">
      <c r="A45" s="14" t="s">
        <v>104</v>
      </c>
      <c r="B45" s="10"/>
      <c r="C45" s="10"/>
      <c r="D45" s="10"/>
    </row>
    <row r="46" spans="1:4" x14ac:dyDescent="0.25">
      <c r="A46" s="14" t="s">
        <v>105</v>
      </c>
      <c r="B46" s="10"/>
      <c r="C46" s="10"/>
      <c r="D46" s="10"/>
    </row>
    <row r="47" spans="1:4" x14ac:dyDescent="0.25">
      <c r="A47" s="14" t="s">
        <v>106</v>
      </c>
      <c r="B47" s="10"/>
      <c r="C47" s="10"/>
      <c r="D47" s="10"/>
    </row>
    <row r="48" spans="1:4" x14ac:dyDescent="0.25">
      <c r="A48" s="14" t="s">
        <v>107</v>
      </c>
      <c r="B48" s="10"/>
      <c r="C48" s="10"/>
      <c r="D48" s="10"/>
    </row>
    <row r="49" spans="1:4" x14ac:dyDescent="0.25">
      <c r="A49" s="10"/>
      <c r="B49" s="10"/>
      <c r="C49" s="10"/>
      <c r="D49" s="10"/>
    </row>
    <row r="50" spans="1:4" x14ac:dyDescent="0.25">
      <c r="A50" s="12" t="s">
        <v>108</v>
      </c>
      <c r="B50" s="10"/>
      <c r="C50" s="10"/>
      <c r="D50" s="10"/>
    </row>
    <row r="51" spans="1:4" x14ac:dyDescent="0.25">
      <c r="A51" s="14" t="s">
        <v>109</v>
      </c>
      <c r="B51" s="10"/>
      <c r="C51" s="10"/>
      <c r="D51" s="10"/>
    </row>
    <row r="52" spans="1:4" x14ac:dyDescent="0.25">
      <c r="A52" s="14" t="s">
        <v>110</v>
      </c>
      <c r="B52" s="10"/>
      <c r="C52" s="10"/>
      <c r="D52" s="10"/>
    </row>
    <row r="53" spans="1:4" x14ac:dyDescent="0.25">
      <c r="A53" s="14" t="s">
        <v>111</v>
      </c>
      <c r="B53" s="10"/>
      <c r="C53" s="10"/>
      <c r="D53" s="10"/>
    </row>
    <row r="54" spans="1:4" x14ac:dyDescent="0.25">
      <c r="A54" s="10"/>
      <c r="B54" s="10"/>
      <c r="C54" s="10"/>
      <c r="D54" s="10"/>
    </row>
    <row r="55" spans="1:4" x14ac:dyDescent="0.25">
      <c r="A55" s="12" t="s">
        <v>112</v>
      </c>
      <c r="B55" s="10"/>
      <c r="C55" s="10"/>
      <c r="D55" s="10"/>
    </row>
    <row r="56" spans="1:4" x14ac:dyDescent="0.25">
      <c r="A56" s="10" t="s">
        <v>113</v>
      </c>
      <c r="B56" s="10"/>
      <c r="C56" s="10"/>
      <c r="D56" s="10"/>
    </row>
    <row r="57" spans="1:4" x14ac:dyDescent="0.25">
      <c r="A57" s="10" t="s">
        <v>114</v>
      </c>
      <c r="B57" s="10"/>
      <c r="C57" s="10"/>
      <c r="D57" s="10"/>
    </row>
    <row r="58" spans="1:4" x14ac:dyDescent="0.25">
      <c r="A58" s="10" t="s">
        <v>115</v>
      </c>
      <c r="B58" s="10"/>
      <c r="C58" s="10"/>
      <c r="D58" s="10"/>
    </row>
    <row r="59" spans="1:4" x14ac:dyDescent="0.25">
      <c r="A59" s="10" t="s">
        <v>116</v>
      </c>
      <c r="B59" s="10"/>
      <c r="C59" s="10"/>
      <c r="D59" s="10"/>
    </row>
    <row r="60" spans="1:4" x14ac:dyDescent="0.25">
      <c r="A60" s="10"/>
      <c r="B60" s="10"/>
      <c r="C60" s="10"/>
      <c r="D60" s="10"/>
    </row>
    <row r="61" spans="1:4" x14ac:dyDescent="0.25">
      <c r="A61" s="12" t="s">
        <v>117</v>
      </c>
      <c r="B61" s="10"/>
      <c r="C61" s="10"/>
      <c r="D61" s="10"/>
    </row>
    <row r="62" spans="1:4" x14ac:dyDescent="0.25">
      <c r="A62" s="10" t="s">
        <v>118</v>
      </c>
      <c r="B62" s="10"/>
      <c r="C62" s="10"/>
      <c r="D62" s="10"/>
    </row>
    <row r="63" spans="1:4" x14ac:dyDescent="0.25">
      <c r="A63" s="10" t="s">
        <v>119</v>
      </c>
      <c r="B63" s="10"/>
      <c r="C63" s="10"/>
      <c r="D63" s="10"/>
    </row>
    <row r="64" spans="1:4" x14ac:dyDescent="0.25">
      <c r="A64" s="10" t="s">
        <v>120</v>
      </c>
      <c r="B64" s="10"/>
      <c r="C64" s="10"/>
      <c r="D64" s="10"/>
    </row>
    <row r="66" spans="1:4" ht="15.75" x14ac:dyDescent="0.25">
      <c r="A66" s="15" t="s">
        <v>121</v>
      </c>
      <c r="B66" s="10"/>
      <c r="C66" s="10"/>
      <c r="D66" s="10"/>
    </row>
    <row r="67" spans="1:4" x14ac:dyDescent="0.25">
      <c r="A67" s="10"/>
      <c r="B67" s="10"/>
      <c r="C67" s="10"/>
      <c r="D67" s="10"/>
    </row>
    <row r="68" spans="1:4" x14ac:dyDescent="0.25">
      <c r="A68" s="12" t="s">
        <v>122</v>
      </c>
      <c r="B68" s="10"/>
      <c r="C68" s="10"/>
      <c r="D68" s="10"/>
    </row>
    <row r="69" spans="1:4" x14ac:dyDescent="0.25">
      <c r="A69" s="16" t="s">
        <v>123</v>
      </c>
      <c r="B69" s="10"/>
      <c r="C69" s="10"/>
      <c r="D69" s="10"/>
    </row>
    <row r="70" spans="1:4" x14ac:dyDescent="0.25">
      <c r="A70" s="10" t="s">
        <v>124</v>
      </c>
      <c r="B70" s="10"/>
      <c r="C70" s="10"/>
      <c r="D70" s="10"/>
    </row>
    <row r="71" spans="1:4" x14ac:dyDescent="0.25">
      <c r="A71" s="10" t="s">
        <v>125</v>
      </c>
      <c r="B71" s="10"/>
      <c r="C71" s="10"/>
      <c r="D71" s="10"/>
    </row>
    <row r="72" spans="1:4" x14ac:dyDescent="0.25">
      <c r="A72" s="10" t="s">
        <v>126</v>
      </c>
      <c r="B72" s="10"/>
      <c r="C72" s="10"/>
      <c r="D72" s="10"/>
    </row>
    <row r="73" spans="1:4" x14ac:dyDescent="0.25">
      <c r="A73" s="10" t="s">
        <v>127</v>
      </c>
      <c r="B73" s="10"/>
      <c r="C73" s="10"/>
      <c r="D73" s="10"/>
    </row>
    <row r="74" spans="1:4" x14ac:dyDescent="0.25">
      <c r="A74" s="10"/>
      <c r="B74" s="10"/>
      <c r="C74" s="10"/>
      <c r="D74" s="10"/>
    </row>
    <row r="75" spans="1:4" x14ac:dyDescent="0.25">
      <c r="A75" s="12" t="s">
        <v>128</v>
      </c>
      <c r="B75" s="10"/>
      <c r="C75" s="10"/>
      <c r="D75" s="10"/>
    </row>
    <row r="76" spans="1:4" x14ac:dyDescent="0.25">
      <c r="A76" s="16" t="s">
        <v>129</v>
      </c>
      <c r="B76" s="10"/>
      <c r="C76" s="10"/>
      <c r="D76" s="10"/>
    </row>
    <row r="77" spans="1:4" x14ac:dyDescent="0.25">
      <c r="A77" s="10" t="s">
        <v>124</v>
      </c>
      <c r="B77" s="10"/>
      <c r="C77" s="10"/>
      <c r="D77" s="10"/>
    </row>
    <row r="78" spans="1:4" x14ac:dyDescent="0.25">
      <c r="A78" s="10" t="s">
        <v>130</v>
      </c>
      <c r="B78" s="10"/>
      <c r="C78" s="10"/>
      <c r="D78" s="10"/>
    </row>
    <row r="79" spans="1:4" x14ac:dyDescent="0.25">
      <c r="A79" s="10" t="s">
        <v>131</v>
      </c>
      <c r="B79" s="10"/>
      <c r="C79" s="10"/>
      <c r="D79" s="10"/>
    </row>
    <row r="80" spans="1:4" x14ac:dyDescent="0.25">
      <c r="A80" s="10" t="s">
        <v>132</v>
      </c>
      <c r="B80" s="10"/>
      <c r="C80" s="10"/>
      <c r="D80" s="10"/>
    </row>
    <row r="81" spans="1:4" x14ac:dyDescent="0.25">
      <c r="A81" s="10"/>
      <c r="B81" s="10"/>
      <c r="C81" s="10"/>
      <c r="D81" s="10"/>
    </row>
    <row r="82" spans="1:4" x14ac:dyDescent="0.25">
      <c r="A82" s="12" t="s">
        <v>133</v>
      </c>
      <c r="B82" s="10"/>
      <c r="C82" s="10"/>
      <c r="D82" s="10"/>
    </row>
    <row r="83" spans="1:4" x14ac:dyDescent="0.25">
      <c r="A83" s="10" t="s">
        <v>134</v>
      </c>
      <c r="B83" s="10"/>
      <c r="C83" s="10"/>
      <c r="D83" s="10"/>
    </row>
    <row r="84" spans="1:4" x14ac:dyDescent="0.25">
      <c r="A84" s="10"/>
      <c r="B84" s="10"/>
      <c r="C84" s="10"/>
      <c r="D84" s="10"/>
    </row>
    <row r="85" spans="1:4" x14ac:dyDescent="0.25">
      <c r="A85" s="12" t="s">
        <v>135</v>
      </c>
      <c r="B85" s="10"/>
      <c r="C85" s="10"/>
      <c r="D85" s="10"/>
    </row>
    <row r="86" spans="1:4" x14ac:dyDescent="0.25">
      <c r="A86" s="10" t="s">
        <v>136</v>
      </c>
      <c r="B86" s="10"/>
      <c r="C86" s="10"/>
      <c r="D86" s="10"/>
    </row>
    <row r="87" spans="1:4" x14ac:dyDescent="0.25">
      <c r="A87" s="10" t="s">
        <v>137</v>
      </c>
      <c r="B87" s="10"/>
      <c r="C87" s="10"/>
      <c r="D87" s="10"/>
    </row>
  </sheetData>
  <mergeCells count="83">
    <mergeCell ref="A3:D3"/>
    <mergeCell ref="A55:D55"/>
    <mergeCell ref="A86:D86"/>
    <mergeCell ref="A47:D47"/>
    <mergeCell ref="A6:D6"/>
    <mergeCell ref="A25:D25"/>
    <mergeCell ref="A84:D84"/>
    <mergeCell ref="A66:D66"/>
    <mergeCell ref="A75:D75"/>
    <mergeCell ref="A18:D18"/>
    <mergeCell ref="A50:D50"/>
    <mergeCell ref="A1:D1"/>
    <mergeCell ref="A45:D45"/>
    <mergeCell ref="A69:D69"/>
    <mergeCell ref="A78:D78"/>
    <mergeCell ref="A87:D87"/>
    <mergeCell ref="A80:D80"/>
    <mergeCell ref="A37:D37"/>
    <mergeCell ref="A12:D12"/>
    <mergeCell ref="A21:D21"/>
    <mergeCell ref="A57:D57"/>
    <mergeCell ref="A32:D32"/>
    <mergeCell ref="A14:D14"/>
    <mergeCell ref="A4:D4"/>
    <mergeCell ref="A38:D38"/>
    <mergeCell ref="A43:D43"/>
    <mergeCell ref="A40:D40"/>
    <mergeCell ref="A77:D77"/>
    <mergeCell ref="A34:D34"/>
    <mergeCell ref="A83:D83"/>
    <mergeCell ref="A39:D39"/>
    <mergeCell ref="A49:D49"/>
    <mergeCell ref="A36:D36"/>
    <mergeCell ref="A67:D67"/>
    <mergeCell ref="A82:D82"/>
    <mergeCell ref="A71:D71"/>
    <mergeCell ref="A76:D76"/>
    <mergeCell ref="A8:D8"/>
    <mergeCell ref="A52:D52"/>
    <mergeCell ref="A63:D63"/>
    <mergeCell ref="A10:D10"/>
    <mergeCell ref="A68:D68"/>
    <mergeCell ref="A85:D85"/>
    <mergeCell ref="A42:D42"/>
    <mergeCell ref="A17:D17"/>
    <mergeCell ref="A22:D22"/>
    <mergeCell ref="A53:D53"/>
    <mergeCell ref="A35:D35"/>
    <mergeCell ref="A62:D62"/>
    <mergeCell ref="A19:D19"/>
    <mergeCell ref="A28:D28"/>
    <mergeCell ref="A48:D48"/>
    <mergeCell ref="A30:D30"/>
    <mergeCell ref="A59:D59"/>
    <mergeCell ref="A79:D79"/>
    <mergeCell ref="A61:D61"/>
    <mergeCell ref="A46:D46"/>
    <mergeCell ref="A74:D74"/>
    <mergeCell ref="A54:D54"/>
    <mergeCell ref="A7:D7"/>
    <mergeCell ref="A16:D16"/>
    <mergeCell ref="A56:D56"/>
    <mergeCell ref="A27:D27"/>
    <mergeCell ref="A33:D33"/>
    <mergeCell ref="A9:D9"/>
    <mergeCell ref="A11:D11"/>
    <mergeCell ref="A26:D26"/>
    <mergeCell ref="A5:D5"/>
    <mergeCell ref="A20:D20"/>
    <mergeCell ref="A72:D72"/>
    <mergeCell ref="A29:D29"/>
    <mergeCell ref="A81:D81"/>
    <mergeCell ref="A13:D13"/>
    <mergeCell ref="A44:D44"/>
    <mergeCell ref="A31:D31"/>
    <mergeCell ref="A58:D58"/>
    <mergeCell ref="A15:D15"/>
    <mergeCell ref="A64:D64"/>
    <mergeCell ref="A24:D24"/>
    <mergeCell ref="A73:D73"/>
    <mergeCell ref="A51:D51"/>
    <mergeCell ref="A60:D60"/>
    <mergeCell ref="A70:D7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Parameters</vt:lpstr>
      <vt:lpstr>Table_9.5_Original</vt:lpstr>
      <vt:lpstr>Table_9.6_Original</vt:lpstr>
      <vt:lpstr>Table_9.5_Modified</vt:lpstr>
      <vt:lpstr>Table_9.6_Modified</vt:lpstr>
      <vt:lpstr>Comparison</vt:lpstr>
      <vt:lpstr>Analysis_Notes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Jordan Clayton</cp:lastModifiedBy>
  <dcterms:created xsi:type="dcterms:W3CDTF">2025-12-09T01:20:16Z</dcterms:created>
  <dcterms:modified xsi:type="dcterms:W3CDTF">2025-12-09T01:34:41Z</dcterms:modified>
</cp:coreProperties>
</file>