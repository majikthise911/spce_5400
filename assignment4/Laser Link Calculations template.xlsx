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23788099336693ff/Desktop/UCCS/SPCE 5400 Intro 2025/"/>
    </mc:Choice>
  </mc:AlternateContent>
  <xr:revisionPtr revIDLastSave="7" documentId="8_{E890B825-D649-4B91-A540-E3DEF7C91E42}" xr6:coauthVersionLast="47" xr6:coauthVersionMax="47" xr10:uidLastSave="{46C5F2AF-9E91-4B41-984B-D76FA24EFD61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4" i="1" l="1"/>
  <c r="V20" i="1"/>
  <c r="W20" i="1" s="1"/>
  <c r="V6" i="1"/>
  <c r="W6" i="1" s="1"/>
  <c r="W5" i="1"/>
  <c r="W4" i="1"/>
  <c r="N16" i="1"/>
  <c r="O16" i="1" s="1"/>
  <c r="O14" i="1"/>
  <c r="N20" i="1"/>
  <c r="O20" i="1" s="1"/>
  <c r="N6" i="1"/>
  <c r="O6" i="1" s="1"/>
  <c r="O5" i="1"/>
  <c r="O4" i="1"/>
  <c r="W24" i="1" l="1"/>
  <c r="V16" i="1"/>
  <c r="W16" i="1" s="1"/>
  <c r="V19" i="1"/>
  <c r="W19" i="1" s="1"/>
  <c r="V8" i="1"/>
  <c r="V9" i="1" s="1"/>
  <c r="N19" i="1"/>
  <c r="O19" i="1" s="1"/>
  <c r="O24" i="1" s="1"/>
  <c r="N8" i="1"/>
  <c r="N9" i="1" s="1"/>
  <c r="F23" i="1"/>
  <c r="E14" i="1"/>
  <c r="E7" i="1"/>
  <c r="W9" i="1" l="1"/>
  <c r="V10" i="1"/>
  <c r="O9" i="1"/>
  <c r="N10" i="1"/>
  <c r="F14" i="1"/>
  <c r="E16" i="1"/>
  <c r="F16" i="1" s="1"/>
  <c r="W10" i="1" l="1"/>
  <c r="V12" i="1"/>
  <c r="W12" i="1" s="1"/>
  <c r="W26" i="1" s="1"/>
  <c r="N12" i="1"/>
  <c r="O12" i="1" s="1"/>
  <c r="O26" i="1" s="1"/>
  <c r="O10" i="1"/>
  <c r="E20" i="1"/>
  <c r="F20" i="1" s="1"/>
  <c r="E19" i="1"/>
  <c r="E8" i="1"/>
  <c r="E9" i="1" s="1"/>
  <c r="E6" i="1"/>
  <c r="F6" i="1" s="1"/>
  <c r="F5" i="1"/>
  <c r="F4" i="1"/>
  <c r="F19" i="1" l="1"/>
  <c r="F24" i="1" s="1"/>
  <c r="F9" i="1"/>
  <c r="E10" i="1"/>
  <c r="E12" i="1" s="1"/>
  <c r="F10" i="1" l="1"/>
  <c r="F12" i="1"/>
  <c r="F26" i="1" s="1"/>
</calcChain>
</file>

<file path=xl/sharedStrings.xml><?xml version="1.0" encoding="utf-8"?>
<sst xmlns="http://schemas.openxmlformats.org/spreadsheetml/2006/main" count="190" uniqueCount="50">
  <si>
    <t>n'</t>
  </si>
  <si>
    <t>Laser Technology</t>
  </si>
  <si>
    <t>Nd:YAG</t>
  </si>
  <si>
    <t xml:space="preserve">Linear </t>
  </si>
  <si>
    <t>Req Photoelectrons/BIT</t>
  </si>
  <si>
    <t>Detector Quantum Efficiency</t>
  </si>
  <si>
    <t>dB</t>
  </si>
  <si>
    <t>Req. Photons /BIT</t>
  </si>
  <si>
    <t>Wavelength (micron)</t>
  </si>
  <si>
    <t>Freqency (Hz)</t>
  </si>
  <si>
    <t>Joules / BIT</t>
  </si>
  <si>
    <t>h*freq (W-s/photon)</t>
  </si>
  <si>
    <t>BIT rate  (1/s)</t>
  </si>
  <si>
    <t>Power required at receiver (W)</t>
  </si>
  <si>
    <t>Q</t>
  </si>
  <si>
    <t>hv</t>
  </si>
  <si>
    <t>f</t>
  </si>
  <si>
    <t>Pr</t>
  </si>
  <si>
    <t>R</t>
  </si>
  <si>
    <t>Intersatellite disance (m)</t>
  </si>
  <si>
    <t>Ls</t>
  </si>
  <si>
    <t>Free Space Loss</t>
  </si>
  <si>
    <t>Gt</t>
  </si>
  <si>
    <t>Gr</t>
  </si>
  <si>
    <t>Tx aperture diameter (m)</t>
  </si>
  <si>
    <t>Dt</t>
  </si>
  <si>
    <t>Dr</t>
  </si>
  <si>
    <t>Pt</t>
  </si>
  <si>
    <t>Rx aperture diameter (m)</t>
  </si>
  <si>
    <t>Symbol</t>
  </si>
  <si>
    <t>Lpt</t>
  </si>
  <si>
    <t>Pointing error Loss</t>
  </si>
  <si>
    <t xml:space="preserve">Lo </t>
  </si>
  <si>
    <t xml:space="preserve">Rx power </t>
  </si>
  <si>
    <t>Log Value</t>
  </si>
  <si>
    <t>dBW</t>
  </si>
  <si>
    <t>M</t>
  </si>
  <si>
    <t>Tx Power (W)</t>
  </si>
  <si>
    <t>Preq</t>
  </si>
  <si>
    <t>Margin (Pr-Preq)</t>
  </si>
  <si>
    <t>F</t>
  </si>
  <si>
    <t>n</t>
  </si>
  <si>
    <t>Calculate Power Required</t>
  </si>
  <si>
    <t>Calculate Power Received</t>
  </si>
  <si>
    <t>Tx Gain (pi*Dt/lamda)^2</t>
  </si>
  <si>
    <t>Rx Gain (pi*Dt/lamda)^2</t>
  </si>
  <si>
    <t>J/b</t>
  </si>
  <si>
    <t>atmospheric loss</t>
  </si>
  <si>
    <t>Other Losses (line in/out)</t>
  </si>
  <si>
    <t>&lt;-W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</si>
</sst>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1" xfId="0" applyBorder="1"/>
    <xf numFmtId="11" fontId="0" fillId="0" borderId="1" xfId="0" applyNumberFormat="1" applyBorder="1"/>
    <xf numFmtId="0" fontId="0" fillId="0" borderId="4" xfId="0" applyBorder="1"/>
    <xf numFmtId="2" fontId="0" fillId="3" borderId="1" xfId="0" applyNumberFormat="1" applyFill="1" applyBorder="1"/>
    <xf numFmtId="0" fontId="0" fillId="0" borderId="6" xfId="0" applyBorder="1"/>
    <xf numFmtId="0" fontId="0" fillId="0" borderId="0" xfId="0" applyAlignment="1">
      <alignment horizontal="center"/>
    </xf>
    <xf numFmtId="164" fontId="0" fillId="0" borderId="0" xfId="0" applyNumberFormat="1"/>
    <xf numFmtId="2" fontId="0" fillId="0" borderId="0" xfId="0" applyNumberFormat="1"/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2" fontId="0" fillId="4" borderId="1" xfId="0" applyNumberFormat="1" applyFill="1" applyBorder="1"/>
    <xf numFmtId="0" fontId="0" fillId="3" borderId="1" xfId="0" applyFill="1" applyBorder="1"/>
    <xf numFmtId="0" fontId="0" fillId="0" borderId="5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2" fontId="0" fillId="0" borderId="11" xfId="0" applyNumberFormat="1" applyBorder="1"/>
    <xf numFmtId="11" fontId="0" fillId="0" borderId="11" xfId="0" applyNumberForma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2" fontId="0" fillId="4" borderId="16" xfId="0" applyNumberFormat="1" applyFill="1" applyBorder="1"/>
    <xf numFmtId="2" fontId="0" fillId="0" borderId="17" xfId="0" applyNumberFormat="1" applyBorder="1"/>
    <xf numFmtId="11" fontId="0" fillId="3" borderId="1" xfId="0" applyNumberFormat="1" applyFill="1" applyBorder="1"/>
    <xf numFmtId="0" fontId="0" fillId="5" borderId="1" xfId="0" applyFill="1" applyBorder="1"/>
    <xf numFmtId="11" fontId="0" fillId="5" borderId="1" xfId="0" applyNumberFormat="1" applyFill="1" applyBorder="1"/>
    <xf numFmtId="2" fontId="0" fillId="5" borderId="1" xfId="0" applyNumberFormat="1" applyFill="1" applyBorder="1"/>
    <xf numFmtId="164" fontId="0" fillId="6" borderId="6" xfId="0" applyNumberFormat="1" applyFill="1" applyBorder="1"/>
    <xf numFmtId="2" fontId="0" fillId="6" borderId="6" xfId="0" applyNumberFormat="1" applyFill="1" applyBorder="1"/>
    <xf numFmtId="0" fontId="0" fillId="7" borderId="0" xfId="0" applyFill="1"/>
    <xf numFmtId="2" fontId="0" fillId="7" borderId="0" xfId="0" applyNumberFormat="1" applyFill="1"/>
    <xf numFmtId="11" fontId="0" fillId="7" borderId="0" xfId="0" applyNumberFormat="1" applyFill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7" borderId="0" xfId="0" applyFill="1" applyAlignment="1">
      <alignment textRotation="90"/>
    </xf>
    <xf numFmtId="0" fontId="0" fillId="0" borderId="2" xfId="0" applyBorder="1" applyAlignment="1">
      <alignment textRotation="90"/>
    </xf>
    <xf numFmtId="0" fontId="0" fillId="0" borderId="12" xfId="0" applyBorder="1" applyAlignment="1">
      <alignment textRotation="90"/>
    </xf>
    <xf numFmtId="0" fontId="0" fillId="0" borderId="7" xfId="0" applyBorder="1" applyAlignment="1">
      <alignment horizontal="center" textRotation="90"/>
    </xf>
    <xf numFmtId="0" fontId="0" fillId="0" borderId="8" xfId="0" applyBorder="1" applyAlignment="1">
      <alignment horizontal="center" textRotation="90"/>
    </xf>
    <xf numFmtId="0" fontId="0" fillId="0" borderId="9" xfId="0" applyBorder="1" applyAlignment="1">
      <alignment horizontal="center" textRotation="90"/>
    </xf>
    <xf numFmtId="0" fontId="0" fillId="0" borderId="6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7" borderId="0" xfId="0" applyFill="1" applyBorder="1"/>
    <xf numFmtId="0" fontId="0" fillId="0" borderId="0" xfId="0" applyBorder="1"/>
    <xf numFmtId="0" fontId="0" fillId="0" borderId="21" xfId="0" applyBorder="1"/>
    <xf numFmtId="2" fontId="0" fillId="4" borderId="21" xfId="0" applyNumberFormat="1" applyFill="1" applyBorder="1"/>
    <xf numFmtId="2" fontId="0" fillId="0" borderId="22" xfId="0" applyNumberFormat="1" applyBorder="1"/>
    <xf numFmtId="0" fontId="0" fillId="7" borderId="0" xfId="0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2" fontId="0" fillId="7" borderId="0" xfId="0" applyNumberFormat="1" applyFill="1" applyBorder="1"/>
    <xf numFmtId="0" fontId="0" fillId="7" borderId="0" xfId="0" applyFill="1" applyBorder="1" applyAlignment="1">
      <alignment textRotation="90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1" fillId="0" borderId="0" xfId="0" applyFont="1" applyFill="1" applyBorder="1" applyAlignment="1">
      <alignment horizontal="center" wrapText="1"/>
    </xf>
    <xf numFmtId="0" fontId="0" fillId="0" borderId="0" xfId="0" applyFill="1" applyBorder="1" applyAlignment="1">
      <alignment wrapText="1"/>
    </xf>
    <xf numFmtId="2" fontId="0" fillId="0" borderId="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53"/>
  <sheetViews>
    <sheetView tabSelected="1" topLeftCell="G1" workbookViewId="0">
      <selection sqref="A1:H25"/>
    </sheetView>
  </sheetViews>
  <sheetFormatPr defaultRowHeight="14.4" x14ac:dyDescent="0.3"/>
  <cols>
    <col min="2" max="2" width="5" customWidth="1"/>
    <col min="4" max="4" width="28" customWidth="1"/>
    <col min="5" max="5" width="15.88671875" customWidth="1"/>
    <col min="6" max="6" width="16.21875" customWidth="1"/>
    <col min="7" max="7" width="6.33203125" customWidth="1"/>
    <col min="8" max="8" width="11.109375" customWidth="1"/>
    <col min="10" max="10" width="11" customWidth="1"/>
    <col min="11" max="11" width="11.33203125" customWidth="1"/>
    <col min="12" max="12" width="11" customWidth="1"/>
    <col min="13" max="13" width="20" customWidth="1"/>
    <col min="14" max="14" width="14.6640625" customWidth="1"/>
    <col min="16" max="16" width="13.109375" customWidth="1"/>
    <col min="21" max="21" width="20" customWidth="1"/>
    <col min="22" max="22" width="12.88671875" customWidth="1"/>
  </cols>
  <sheetData>
    <row r="1" spans="2:24" x14ac:dyDescent="0.3">
      <c r="E1" s="44" t="s">
        <v>1</v>
      </c>
      <c r="F1" s="45"/>
      <c r="G1" s="9"/>
      <c r="H1" s="10"/>
      <c r="N1" s="44" t="s">
        <v>1</v>
      </c>
      <c r="O1" s="45"/>
      <c r="P1" s="9"/>
      <c r="Q1" s="31"/>
      <c r="V1" s="44" t="s">
        <v>1</v>
      </c>
      <c r="W1" s="45"/>
      <c r="X1" s="9"/>
    </row>
    <row r="2" spans="2:24" ht="15" thickBot="1" x14ac:dyDescent="0.35">
      <c r="E2" s="42" t="s">
        <v>2</v>
      </c>
      <c r="F2" s="43"/>
      <c r="G2" s="6"/>
      <c r="H2" s="6"/>
      <c r="N2" s="42" t="s">
        <v>2</v>
      </c>
      <c r="O2" s="43"/>
      <c r="P2" s="6"/>
      <c r="Q2" s="31"/>
      <c r="V2" s="42" t="s">
        <v>2</v>
      </c>
      <c r="W2" s="43"/>
      <c r="X2" s="6"/>
    </row>
    <row r="3" spans="2:24" x14ac:dyDescent="0.3">
      <c r="B3" s="39" t="s">
        <v>42</v>
      </c>
      <c r="C3" s="13" t="s">
        <v>29</v>
      </c>
      <c r="D3" s="13"/>
      <c r="E3" s="34" t="s">
        <v>3</v>
      </c>
      <c r="F3" s="35" t="s">
        <v>34</v>
      </c>
      <c r="G3" s="14"/>
      <c r="H3" s="6"/>
      <c r="K3" s="39" t="s">
        <v>42</v>
      </c>
      <c r="L3" s="13" t="s">
        <v>29</v>
      </c>
      <c r="M3" s="13"/>
      <c r="N3" s="34" t="s">
        <v>3</v>
      </c>
      <c r="O3" s="35" t="s">
        <v>34</v>
      </c>
      <c r="P3" s="14"/>
      <c r="S3" s="39" t="s">
        <v>42</v>
      </c>
      <c r="T3" s="13" t="s">
        <v>29</v>
      </c>
      <c r="U3" s="13"/>
      <c r="V3" s="34" t="s">
        <v>3</v>
      </c>
      <c r="W3" s="35" t="s">
        <v>34</v>
      </c>
      <c r="X3" s="14"/>
    </row>
    <row r="4" spans="2:24" x14ac:dyDescent="0.3">
      <c r="B4" s="40"/>
      <c r="C4" t="s">
        <v>0</v>
      </c>
      <c r="D4" s="1" t="s">
        <v>4</v>
      </c>
      <c r="E4" s="26">
        <v>40</v>
      </c>
      <c r="F4" s="29">
        <f>10*LOG10(E4)</f>
        <v>16.020599913279622</v>
      </c>
      <c r="G4" s="15" t="s">
        <v>6</v>
      </c>
      <c r="H4" s="7"/>
      <c r="K4" s="40"/>
      <c r="L4" t="s">
        <v>0</v>
      </c>
      <c r="M4" s="1" t="s">
        <v>4</v>
      </c>
      <c r="N4" s="26">
        <v>40</v>
      </c>
      <c r="O4" s="29">
        <f>10*LOG10(N4)</f>
        <v>16.020599913279622</v>
      </c>
      <c r="P4" s="15" t="s">
        <v>6</v>
      </c>
      <c r="S4" s="40"/>
      <c r="T4" t="s">
        <v>0</v>
      </c>
      <c r="U4" s="1" t="s">
        <v>4</v>
      </c>
      <c r="V4" s="26">
        <v>40</v>
      </c>
      <c r="W4" s="29">
        <f>10*LOG10(V4)</f>
        <v>16.020599913279622</v>
      </c>
      <c r="X4" s="15" t="s">
        <v>6</v>
      </c>
    </row>
    <row r="5" spans="2:24" x14ac:dyDescent="0.3">
      <c r="B5" s="40"/>
      <c r="C5" t="s">
        <v>14</v>
      </c>
      <c r="D5" s="1" t="s">
        <v>5</v>
      </c>
      <c r="E5" s="26">
        <v>0.3</v>
      </c>
      <c r="F5" s="30">
        <f>10*LOG10(E5)</f>
        <v>-5.2287874528033758</v>
      </c>
      <c r="G5" s="15" t="s">
        <v>6</v>
      </c>
      <c r="H5" s="8"/>
      <c r="K5" s="40"/>
      <c r="L5" t="s">
        <v>14</v>
      </c>
      <c r="M5" s="1" t="s">
        <v>5</v>
      </c>
      <c r="N5" s="26">
        <v>0.3</v>
      </c>
      <c r="O5" s="30">
        <f>10*LOG10(N5)</f>
        <v>-5.2287874528033758</v>
      </c>
      <c r="P5" s="15" t="s">
        <v>6</v>
      </c>
      <c r="S5" s="40"/>
      <c r="T5" t="s">
        <v>14</v>
      </c>
      <c r="U5" s="1" t="s">
        <v>5</v>
      </c>
      <c r="V5" s="26">
        <v>0.3</v>
      </c>
      <c r="W5" s="30">
        <f>10*LOG10(V5)</f>
        <v>-5.2287874528033758</v>
      </c>
      <c r="X5" s="15" t="s">
        <v>6</v>
      </c>
    </row>
    <row r="6" spans="2:24" x14ac:dyDescent="0.3">
      <c r="B6" s="40"/>
      <c r="C6" t="s">
        <v>41</v>
      </c>
      <c r="D6" s="1" t="s">
        <v>7</v>
      </c>
      <c r="E6" s="4">
        <f>E4/(E5)</f>
        <v>133.33333333333334</v>
      </c>
      <c r="F6" s="30">
        <f>10*LOG(E6)</f>
        <v>21.249387366082999</v>
      </c>
      <c r="G6" s="16" t="s">
        <v>6</v>
      </c>
      <c r="H6" s="8"/>
      <c r="K6" s="40"/>
      <c r="L6" t="s">
        <v>41</v>
      </c>
      <c r="M6" s="1" t="s">
        <v>7</v>
      </c>
      <c r="N6" s="4">
        <f>N4/(N5)</f>
        <v>133.33333333333334</v>
      </c>
      <c r="O6" s="30">
        <f>10*LOG(N6)</f>
        <v>21.249387366082999</v>
      </c>
      <c r="P6" s="16" t="s">
        <v>6</v>
      </c>
      <c r="S6" s="40"/>
      <c r="T6" t="s">
        <v>41</v>
      </c>
      <c r="U6" s="1" t="s">
        <v>7</v>
      </c>
      <c r="V6" s="4">
        <f>V4/(V5)</f>
        <v>133.33333333333334</v>
      </c>
      <c r="W6" s="30">
        <f>10*LOG(V6)</f>
        <v>21.249387366082999</v>
      </c>
      <c r="X6" s="16" t="s">
        <v>6</v>
      </c>
    </row>
    <row r="7" spans="2:24" x14ac:dyDescent="0.3">
      <c r="B7" s="40"/>
      <c r="D7" s="1" t="s">
        <v>8</v>
      </c>
      <c r="E7" s="26">
        <f>C32*0.001</f>
        <v>0</v>
      </c>
      <c r="F7" s="5"/>
      <c r="G7" s="15"/>
      <c r="K7" s="40"/>
      <c r="M7" s="1" t="s">
        <v>8</v>
      </c>
      <c r="N7" s="26">
        <v>3.67</v>
      </c>
      <c r="O7" s="5"/>
      <c r="P7" s="15"/>
      <c r="S7" s="40"/>
      <c r="U7" s="1" t="s">
        <v>8</v>
      </c>
      <c r="V7" s="26">
        <v>3.7970000000000002</v>
      </c>
      <c r="W7" s="5"/>
      <c r="X7" s="15"/>
    </row>
    <row r="8" spans="2:24" x14ac:dyDescent="0.3">
      <c r="B8" s="40"/>
      <c r="C8" t="s">
        <v>40</v>
      </c>
      <c r="D8" s="1" t="s">
        <v>9</v>
      </c>
      <c r="E8" s="12" t="e">
        <f>300000000/(E7*0.000001)</f>
        <v>#DIV/0!</v>
      </c>
      <c r="F8" s="5"/>
      <c r="G8" s="15"/>
      <c r="K8" s="40"/>
      <c r="L8" t="s">
        <v>40</v>
      </c>
      <c r="M8" s="1" t="s">
        <v>9</v>
      </c>
      <c r="N8" s="12">
        <f>300000000/(N7*0.000001)</f>
        <v>81743869209809.266</v>
      </c>
      <c r="O8" s="5"/>
      <c r="P8" s="15"/>
      <c r="S8" s="40"/>
      <c r="T8" t="s">
        <v>40</v>
      </c>
      <c r="U8" s="1" t="s">
        <v>9</v>
      </c>
      <c r="V8" s="12">
        <f>300000000/(V7*0.000001)</f>
        <v>79009744535159.344</v>
      </c>
      <c r="W8" s="5"/>
      <c r="X8" s="15"/>
    </row>
    <row r="9" spans="2:24" x14ac:dyDescent="0.3">
      <c r="B9" s="40"/>
      <c r="C9" t="s">
        <v>15</v>
      </c>
      <c r="D9" s="1" t="s">
        <v>11</v>
      </c>
      <c r="E9" s="25" t="e">
        <f>6.625E-34*E8</f>
        <v>#DIV/0!</v>
      </c>
      <c r="F9" s="30" t="e">
        <f>10*LOG10(E9)</f>
        <v>#DIV/0!</v>
      </c>
      <c r="G9" s="17" t="s">
        <v>6</v>
      </c>
      <c r="H9" s="8"/>
      <c r="K9" s="40"/>
      <c r="L9" t="s">
        <v>15</v>
      </c>
      <c r="M9" s="1" t="s">
        <v>11</v>
      </c>
      <c r="N9" s="25">
        <f>6.625E-34*N8</f>
        <v>5.4155313351498634E-20</v>
      </c>
      <c r="O9" s="30">
        <f>10*LOG10(N9)</f>
        <v>-192.66358926923579</v>
      </c>
      <c r="P9" s="17" t="s">
        <v>6</v>
      </c>
      <c r="S9" s="40"/>
      <c r="T9" t="s">
        <v>15</v>
      </c>
      <c r="U9" s="1" t="s">
        <v>11</v>
      </c>
      <c r="V9" s="25">
        <f>6.625E-34*V8</f>
        <v>5.2343955754543065E-20</v>
      </c>
      <c r="W9" s="30">
        <f>10*LOG10(V9)</f>
        <v>-192.81133459811289</v>
      </c>
      <c r="X9" s="17" t="s">
        <v>6</v>
      </c>
    </row>
    <row r="10" spans="2:24" x14ac:dyDescent="0.3">
      <c r="B10" s="40"/>
      <c r="C10" t="s">
        <v>46</v>
      </c>
      <c r="D10" s="1" t="s">
        <v>10</v>
      </c>
      <c r="E10" s="25" t="e">
        <f>E6*E9</f>
        <v>#DIV/0!</v>
      </c>
      <c r="F10" s="30" t="e">
        <f>10*LOG10(E10)</f>
        <v>#DIV/0!</v>
      </c>
      <c r="G10" s="17" t="s">
        <v>6</v>
      </c>
      <c r="H10" s="8"/>
      <c r="K10" s="40"/>
      <c r="L10" t="s">
        <v>46</v>
      </c>
      <c r="M10" s="1" t="s">
        <v>10</v>
      </c>
      <c r="N10" s="25">
        <f>N6*N9</f>
        <v>7.2207084468664849E-18</v>
      </c>
      <c r="O10" s="30">
        <f>10*LOG10(N10)</f>
        <v>-171.41420190315279</v>
      </c>
      <c r="P10" s="17" t="s">
        <v>6</v>
      </c>
      <c r="S10" s="40"/>
      <c r="T10" t="s">
        <v>46</v>
      </c>
      <c r="U10" s="1" t="s">
        <v>10</v>
      </c>
      <c r="V10" s="25">
        <f>V6*V9</f>
        <v>6.9791941006057428E-18</v>
      </c>
      <c r="W10" s="30">
        <f>10*LOG10(V10)</f>
        <v>-171.56194723202989</v>
      </c>
      <c r="X10" s="17" t="s">
        <v>6</v>
      </c>
    </row>
    <row r="11" spans="2:24" x14ac:dyDescent="0.3">
      <c r="B11" s="40"/>
      <c r="C11" t="s">
        <v>16</v>
      </c>
      <c r="D11" s="1" t="s">
        <v>12</v>
      </c>
      <c r="E11" s="27">
        <v>10000000000</v>
      </c>
      <c r="F11" s="5"/>
      <c r="G11" s="17"/>
      <c r="J11" s="31"/>
      <c r="K11" s="40"/>
      <c r="L11" t="s">
        <v>16</v>
      </c>
      <c r="M11" s="1" t="s">
        <v>12</v>
      </c>
      <c r="N11" s="27">
        <v>10000000000</v>
      </c>
      <c r="O11" s="5"/>
      <c r="P11" s="17"/>
      <c r="S11" s="40"/>
      <c r="T11" t="s">
        <v>16</v>
      </c>
      <c r="U11" s="1" t="s">
        <v>12</v>
      </c>
      <c r="V11" s="27">
        <v>10000000000</v>
      </c>
      <c r="W11" s="5"/>
      <c r="X11" s="17"/>
    </row>
    <row r="12" spans="2:24" ht="15" thickBot="1" x14ac:dyDescent="0.35">
      <c r="B12" s="41"/>
      <c r="C12" t="s">
        <v>38</v>
      </c>
      <c r="D12" s="1" t="s">
        <v>13</v>
      </c>
      <c r="E12" s="25" t="e">
        <f>E10*E11</f>
        <v>#DIV/0!</v>
      </c>
      <c r="F12" s="30" t="e">
        <f>10*LOG10(E12)</f>
        <v>#DIV/0!</v>
      </c>
      <c r="G12" s="17" t="s">
        <v>35</v>
      </c>
      <c r="H12" s="8"/>
      <c r="J12" s="31"/>
      <c r="K12" s="41"/>
      <c r="L12" t="s">
        <v>38</v>
      </c>
      <c r="M12" s="1" t="s">
        <v>13</v>
      </c>
      <c r="N12" s="25">
        <f>N10*N11</f>
        <v>7.2207084468664845E-8</v>
      </c>
      <c r="O12" s="30">
        <f>10*LOG10(N12)</f>
        <v>-71.414201903152815</v>
      </c>
      <c r="P12" s="17" t="s">
        <v>35</v>
      </c>
      <c r="Q12" s="31"/>
      <c r="S12" s="41"/>
      <c r="T12" t="s">
        <v>38</v>
      </c>
      <c r="U12" s="1" t="s">
        <v>13</v>
      </c>
      <c r="V12" s="25">
        <f>V10*V11</f>
        <v>6.9791941006057429E-8</v>
      </c>
      <c r="W12" s="30">
        <f>10*LOG10(V12)</f>
        <v>-71.561947232029894</v>
      </c>
      <c r="X12" s="17" t="s">
        <v>35</v>
      </c>
    </row>
    <row r="13" spans="2:24" ht="15" thickBot="1" x14ac:dyDescent="0.35">
      <c r="B13" s="18"/>
      <c r="G13" s="19"/>
      <c r="K13" s="18"/>
      <c r="P13" s="19"/>
      <c r="S13" s="18"/>
      <c r="X13" s="19"/>
    </row>
    <row r="14" spans="2:24" ht="14.4" customHeight="1" x14ac:dyDescent="0.3">
      <c r="B14" s="37" t="s">
        <v>43</v>
      </c>
      <c r="C14" t="s">
        <v>27</v>
      </c>
      <c r="D14" s="1" t="s">
        <v>37</v>
      </c>
      <c r="E14" s="28">
        <f>B32</f>
        <v>0</v>
      </c>
      <c r="F14" s="11" t="e">
        <f>10*LOG10(E14)</f>
        <v>#NUM!</v>
      </c>
      <c r="G14" s="17" t="s">
        <v>35</v>
      </c>
      <c r="H14" t="s">
        <v>49</v>
      </c>
      <c r="K14" s="37" t="s">
        <v>43</v>
      </c>
      <c r="L14" t="s">
        <v>27</v>
      </c>
      <c r="M14" s="1" t="s">
        <v>37</v>
      </c>
      <c r="N14" s="28">
        <v>0.59</v>
      </c>
      <c r="O14" s="11">
        <f>10*LOG10(N14)</f>
        <v>-2.2914798835785581</v>
      </c>
      <c r="P14" s="17" t="s">
        <v>35</v>
      </c>
      <c r="S14" s="37" t="s">
        <v>43</v>
      </c>
      <c r="T14" t="s">
        <v>27</v>
      </c>
      <c r="U14" s="1" t="s">
        <v>37</v>
      </c>
      <c r="V14" s="28">
        <v>0.7</v>
      </c>
      <c r="W14" s="11">
        <f>10*LOG10(V14)</f>
        <v>-1.5490195998574319</v>
      </c>
      <c r="X14" s="17" t="s">
        <v>35</v>
      </c>
    </row>
    <row r="15" spans="2:24" x14ac:dyDescent="0.3">
      <c r="B15" s="38"/>
      <c r="C15" t="s">
        <v>18</v>
      </c>
      <c r="D15" s="1" t="s">
        <v>19</v>
      </c>
      <c r="E15" s="28">
        <v>1000000</v>
      </c>
      <c r="F15" s="1"/>
      <c r="G15" s="17"/>
      <c r="K15" s="38"/>
      <c r="L15" t="s">
        <v>18</v>
      </c>
      <c r="M15" s="1" t="s">
        <v>19</v>
      </c>
      <c r="N15" s="28">
        <v>1000000</v>
      </c>
      <c r="O15" s="1"/>
      <c r="P15" s="17"/>
      <c r="S15" s="38"/>
      <c r="T15" t="s">
        <v>18</v>
      </c>
      <c r="U15" s="1" t="s">
        <v>19</v>
      </c>
      <c r="V15" s="28">
        <v>1000000</v>
      </c>
      <c r="W15" s="1"/>
      <c r="X15" s="17"/>
    </row>
    <row r="16" spans="2:24" x14ac:dyDescent="0.3">
      <c r="B16" s="38"/>
      <c r="C16" t="s">
        <v>20</v>
      </c>
      <c r="D16" s="1" t="s">
        <v>21</v>
      </c>
      <c r="E16" s="25" t="e">
        <f>(4*PI()*E15)^2/(E7*0.000001)^2</f>
        <v>#DIV/0!</v>
      </c>
      <c r="F16" s="11" t="e">
        <f>-10*LOG10(E16)</f>
        <v>#DIV/0!</v>
      </c>
      <c r="G16" s="17" t="s">
        <v>6</v>
      </c>
      <c r="K16" s="38"/>
      <c r="L16" t="s">
        <v>20</v>
      </c>
      <c r="M16" s="1" t="s">
        <v>21</v>
      </c>
      <c r="N16" s="25">
        <f>(4*PI()*N15)^2/(N7*0.000001)^2</f>
        <v>1.1724318275243692E+25</v>
      </c>
      <c r="O16" s="11">
        <f>-10*LOG10(N16)</f>
        <v>-250.69087599540015</v>
      </c>
      <c r="P16" s="17" t="s">
        <v>6</v>
      </c>
      <c r="S16" s="38"/>
      <c r="T16" t="s">
        <v>20</v>
      </c>
      <c r="U16" s="1" t="s">
        <v>21</v>
      </c>
      <c r="V16" s="25">
        <f>(4*PI()*V15)^2/(V7*0.000001)^2</f>
        <v>1.0953137352550674E+25</v>
      </c>
      <c r="W16" s="11">
        <f>-10*LOG10(V16)</f>
        <v>-250.39538533764599</v>
      </c>
      <c r="X16" s="17" t="s">
        <v>6</v>
      </c>
    </row>
    <row r="17" spans="2:24" x14ac:dyDescent="0.3">
      <c r="B17" s="38"/>
      <c r="C17" t="s">
        <v>25</v>
      </c>
      <c r="D17" s="1" t="s">
        <v>24</v>
      </c>
      <c r="E17" s="26">
        <v>0.1</v>
      </c>
      <c r="F17" s="1"/>
      <c r="G17" s="15"/>
      <c r="K17" s="38"/>
      <c r="L17" t="s">
        <v>25</v>
      </c>
      <c r="M17" s="1" t="s">
        <v>24</v>
      </c>
      <c r="N17" s="26">
        <v>0.1</v>
      </c>
      <c r="O17" s="1"/>
      <c r="P17" s="15"/>
      <c r="S17" s="38"/>
      <c r="T17" t="s">
        <v>25</v>
      </c>
      <c r="U17" s="1" t="s">
        <v>24</v>
      </c>
      <c r="V17" s="26">
        <v>0.1</v>
      </c>
      <c r="W17" s="1"/>
      <c r="X17" s="15"/>
    </row>
    <row r="18" spans="2:24" x14ac:dyDescent="0.3">
      <c r="B18" s="38"/>
      <c r="C18" t="s">
        <v>26</v>
      </c>
      <c r="D18" s="1" t="s">
        <v>28</v>
      </c>
      <c r="E18" s="26">
        <v>7.0000000000000007E-2</v>
      </c>
      <c r="F18" s="1"/>
      <c r="G18" s="15"/>
      <c r="K18" s="38"/>
      <c r="L18" t="s">
        <v>26</v>
      </c>
      <c r="M18" s="1" t="s">
        <v>28</v>
      </c>
      <c r="N18" s="26">
        <v>7.0000000000000007E-2</v>
      </c>
      <c r="O18" s="1"/>
      <c r="P18" s="15"/>
      <c r="S18" s="38"/>
      <c r="T18" t="s">
        <v>26</v>
      </c>
      <c r="U18" s="1" t="s">
        <v>28</v>
      </c>
      <c r="V18" s="26">
        <v>7.0000000000000007E-2</v>
      </c>
      <c r="W18" s="1"/>
      <c r="X18" s="15"/>
    </row>
    <row r="19" spans="2:24" x14ac:dyDescent="0.3">
      <c r="B19" s="38"/>
      <c r="C19" t="s">
        <v>22</v>
      </c>
      <c r="D19" s="1" t="s">
        <v>44</v>
      </c>
      <c r="E19" s="12" t="e">
        <f>( PI()*E17/(E7*0.000001) )^2</f>
        <v>#DIV/0!</v>
      </c>
      <c r="F19" s="11" t="e">
        <f>10*LOG10(E19)</f>
        <v>#DIV/0!</v>
      </c>
      <c r="G19" s="15" t="s">
        <v>6</v>
      </c>
      <c r="K19" s="38"/>
      <c r="L19" t="s">
        <v>22</v>
      </c>
      <c r="M19" s="1" t="s">
        <v>44</v>
      </c>
      <c r="N19" s="12">
        <f>( PI()*N17/(N7*0.000001) )^2</f>
        <v>7327698922.0273075</v>
      </c>
      <c r="O19" s="11">
        <f>10*LOG10(N19)</f>
        <v>98.649676168840884</v>
      </c>
      <c r="P19" s="15" t="s">
        <v>6</v>
      </c>
      <c r="S19" s="38"/>
      <c r="T19" t="s">
        <v>22</v>
      </c>
      <c r="U19" s="1" t="s">
        <v>44</v>
      </c>
      <c r="V19" s="12">
        <f>( PI()*V17/(V7*0.000001) )^2</f>
        <v>6845710845.3441715</v>
      </c>
      <c r="W19" s="11">
        <f>10*LOG10(V19)</f>
        <v>98.35418551108674</v>
      </c>
      <c r="X19" s="15" t="s">
        <v>6</v>
      </c>
    </row>
    <row r="20" spans="2:24" x14ac:dyDescent="0.3">
      <c r="B20" s="38"/>
      <c r="C20" t="s">
        <v>23</v>
      </c>
      <c r="D20" s="1" t="s">
        <v>45</v>
      </c>
      <c r="E20" s="12" t="e">
        <f>( PI()*E18/(E7*0.000001) )^2</f>
        <v>#DIV/0!</v>
      </c>
      <c r="F20" s="11" t="e">
        <f>10*LOG10(E20)</f>
        <v>#DIV/0!</v>
      </c>
      <c r="G20" s="15" t="s">
        <v>6</v>
      </c>
      <c r="K20" s="38"/>
      <c r="L20" t="s">
        <v>23</v>
      </c>
      <c r="M20" s="1" t="s">
        <v>45</v>
      </c>
      <c r="N20" s="12">
        <f>( PI()*N18/(N7*0.000001) )^2</f>
        <v>3590572471.7933817</v>
      </c>
      <c r="O20" s="11">
        <f>10*LOG10(N20)</f>
        <v>95.551636969126022</v>
      </c>
      <c r="P20" s="15" t="s">
        <v>6</v>
      </c>
      <c r="S20" s="38"/>
      <c r="T20" t="s">
        <v>23</v>
      </c>
      <c r="U20" s="1" t="s">
        <v>45</v>
      </c>
      <c r="V20" s="12">
        <f>( PI()*V18/(V7*0.000001) )^2</f>
        <v>3354398314.2186446</v>
      </c>
      <c r="W20" s="11">
        <f>10*LOG10(V20)</f>
        <v>95.256146311371879</v>
      </c>
      <c r="X20" s="15" t="s">
        <v>6</v>
      </c>
    </row>
    <row r="21" spans="2:24" x14ac:dyDescent="0.3">
      <c r="B21" s="38"/>
      <c r="C21" t="s">
        <v>30</v>
      </c>
      <c r="D21" s="1" t="s">
        <v>31</v>
      </c>
      <c r="E21" s="1"/>
      <c r="F21" s="4">
        <v>-3</v>
      </c>
      <c r="G21" s="15" t="s">
        <v>6</v>
      </c>
      <c r="K21" s="38"/>
      <c r="L21" t="s">
        <v>30</v>
      </c>
      <c r="M21" s="1" t="s">
        <v>31</v>
      </c>
      <c r="N21" s="1"/>
      <c r="O21" s="4">
        <v>-3</v>
      </c>
      <c r="P21" s="15" t="s">
        <v>6</v>
      </c>
      <c r="Q21" s="31"/>
      <c r="S21" s="38"/>
      <c r="T21" t="s">
        <v>30</v>
      </c>
      <c r="U21" s="1" t="s">
        <v>31</v>
      </c>
      <c r="V21" s="1"/>
      <c r="W21" s="4">
        <v>-3</v>
      </c>
      <c r="X21" s="15" t="s">
        <v>6</v>
      </c>
    </row>
    <row r="22" spans="2:24" x14ac:dyDescent="0.3">
      <c r="B22" s="38"/>
      <c r="C22" t="s">
        <v>32</v>
      </c>
      <c r="D22" s="2" t="s">
        <v>48</v>
      </c>
      <c r="E22" s="1"/>
      <c r="F22" s="12">
        <v>-6</v>
      </c>
      <c r="G22" s="15" t="s">
        <v>6</v>
      </c>
      <c r="K22" s="38"/>
      <c r="L22" t="s">
        <v>32</v>
      </c>
      <c r="M22" s="2" t="s">
        <v>48</v>
      </c>
      <c r="N22" s="1"/>
      <c r="O22" s="12">
        <v>-6</v>
      </c>
      <c r="P22" s="15" t="s">
        <v>6</v>
      </c>
      <c r="S22" s="38"/>
      <c r="T22" t="s">
        <v>32</v>
      </c>
      <c r="U22" s="2" t="s">
        <v>48</v>
      </c>
      <c r="V22" s="1"/>
      <c r="W22" s="12">
        <v>-6</v>
      </c>
      <c r="X22" s="15" t="s">
        <v>6</v>
      </c>
    </row>
    <row r="23" spans="2:24" x14ac:dyDescent="0.3">
      <c r="B23" s="38"/>
      <c r="D23" s="2" t="s">
        <v>47</v>
      </c>
      <c r="E23" s="1"/>
      <c r="F23" s="4">
        <f>D41</f>
        <v>0</v>
      </c>
      <c r="G23" s="15" t="s">
        <v>6</v>
      </c>
      <c r="K23" s="38"/>
      <c r="M23" s="2" t="s">
        <v>47</v>
      </c>
      <c r="N23" s="1"/>
      <c r="O23" s="4">
        <v>-1.36</v>
      </c>
      <c r="P23" s="15" t="s">
        <v>6</v>
      </c>
      <c r="S23" s="38"/>
      <c r="U23" s="2" t="s">
        <v>47</v>
      </c>
      <c r="V23" s="1"/>
      <c r="W23" s="4">
        <v>-0.7</v>
      </c>
      <c r="X23" s="15" t="s">
        <v>6</v>
      </c>
    </row>
    <row r="24" spans="2:24" x14ac:dyDescent="0.3">
      <c r="B24" s="38"/>
      <c r="C24" t="s">
        <v>17</v>
      </c>
      <c r="D24" s="1" t="s">
        <v>33</v>
      </c>
      <c r="E24" s="1"/>
      <c r="F24" s="11" t="e">
        <f>SUM(F14:F23)</f>
        <v>#NUM!</v>
      </c>
      <c r="G24" s="15" t="s">
        <v>35</v>
      </c>
      <c r="K24" s="38"/>
      <c r="L24" t="s">
        <v>17</v>
      </c>
      <c r="M24" s="1" t="s">
        <v>33</v>
      </c>
      <c r="N24" s="1"/>
      <c r="O24" s="11">
        <f>SUM(O14:O23)</f>
        <v>-69.141042741011802</v>
      </c>
      <c r="P24" s="15" t="s">
        <v>35</v>
      </c>
      <c r="S24" s="38"/>
      <c r="T24" t="s">
        <v>17</v>
      </c>
      <c r="U24" s="1" t="s">
        <v>33</v>
      </c>
      <c r="V24" s="1"/>
      <c r="W24" s="11">
        <f>SUM(W14:W23)</f>
        <v>-68.034073115044819</v>
      </c>
      <c r="X24" s="15" t="s">
        <v>35</v>
      </c>
    </row>
    <row r="25" spans="2:24" ht="15" thickBot="1" x14ac:dyDescent="0.35">
      <c r="B25" s="20"/>
      <c r="D25" s="3"/>
      <c r="G25" s="19" t="s">
        <v>6</v>
      </c>
      <c r="K25" s="20"/>
      <c r="M25" s="3"/>
      <c r="P25" s="19" t="s">
        <v>6</v>
      </c>
      <c r="S25" s="20"/>
      <c r="U25" s="3"/>
      <c r="X25" s="19" t="s">
        <v>6</v>
      </c>
    </row>
    <row r="26" spans="2:24" ht="15" thickBot="1" x14ac:dyDescent="0.35">
      <c r="C26" s="47" t="s">
        <v>36</v>
      </c>
      <c r="D26" s="48" t="s">
        <v>39</v>
      </c>
      <c r="E26" s="48"/>
      <c r="F26" s="49" t="e">
        <f>F24-F12</f>
        <v>#NUM!</v>
      </c>
      <c r="G26" s="50" t="s">
        <v>6</v>
      </c>
      <c r="L26" s="21" t="s">
        <v>36</v>
      </c>
      <c r="M26" s="22" t="s">
        <v>39</v>
      </c>
      <c r="N26" s="22"/>
      <c r="O26" s="23">
        <f>O24-O12</f>
        <v>2.2731591621410132</v>
      </c>
      <c r="P26" s="24" t="s">
        <v>6</v>
      </c>
      <c r="T26" s="21" t="s">
        <v>36</v>
      </c>
      <c r="U26" s="22" t="s">
        <v>39</v>
      </c>
      <c r="V26" s="22"/>
      <c r="W26" s="23">
        <f>W24-W12</f>
        <v>3.5278741169850747</v>
      </c>
      <c r="X26" s="24" t="s">
        <v>6</v>
      </c>
    </row>
    <row r="27" spans="2:24" x14ac:dyDescent="0.3">
      <c r="B27" s="47"/>
      <c r="C27" s="47"/>
      <c r="D27" s="47"/>
      <c r="E27" s="47"/>
      <c r="F27" s="47"/>
      <c r="G27" s="47"/>
      <c r="H27" s="47"/>
      <c r="I27" s="47"/>
      <c r="J27" s="47"/>
    </row>
    <row r="28" spans="2:24" x14ac:dyDescent="0.3">
      <c r="B28" s="46"/>
      <c r="C28" s="46"/>
      <c r="D28" s="46"/>
      <c r="E28" s="51"/>
      <c r="F28" s="51"/>
      <c r="G28" s="52"/>
      <c r="H28" s="47"/>
      <c r="I28" s="47"/>
      <c r="J28" s="47"/>
    </row>
    <row r="29" spans="2:24" ht="14.7" customHeight="1" x14ac:dyDescent="0.3">
      <c r="B29" s="55"/>
      <c r="C29" s="55"/>
      <c r="D29" s="56"/>
      <c r="E29" s="56"/>
      <c r="F29" s="56"/>
      <c r="G29" s="56"/>
      <c r="H29" s="56"/>
      <c r="I29" s="56"/>
      <c r="J29" s="55"/>
    </row>
    <row r="30" spans="2:24" x14ac:dyDescent="0.3">
      <c r="B30" s="55"/>
      <c r="C30" s="55"/>
      <c r="D30" s="56"/>
      <c r="E30" s="56"/>
      <c r="F30" s="56"/>
      <c r="G30" s="56"/>
      <c r="H30" s="56"/>
      <c r="I30" s="56"/>
      <c r="J30" s="55"/>
    </row>
    <row r="31" spans="2:24" x14ac:dyDescent="0.3">
      <c r="B31" s="55"/>
      <c r="C31" s="57"/>
      <c r="D31" s="58"/>
      <c r="E31" s="58"/>
      <c r="F31" s="58"/>
      <c r="G31" s="58"/>
      <c r="H31" s="58"/>
      <c r="I31" s="58"/>
      <c r="J31" s="55"/>
    </row>
    <row r="32" spans="2:24" x14ac:dyDescent="0.3">
      <c r="B32" s="55"/>
      <c r="C32" s="55"/>
      <c r="D32" s="55"/>
      <c r="E32" s="55"/>
      <c r="F32" s="55"/>
      <c r="G32" s="55"/>
      <c r="H32" s="55"/>
      <c r="I32" s="55"/>
      <c r="J32" s="55"/>
    </row>
    <row r="33" spans="2:11" x14ac:dyDescent="0.3">
      <c r="B33" s="55"/>
      <c r="C33" s="55"/>
      <c r="D33" s="55"/>
      <c r="E33" s="55"/>
      <c r="F33" s="55"/>
      <c r="G33" s="55"/>
      <c r="H33" s="55"/>
      <c r="I33" s="55"/>
      <c r="J33" s="55"/>
      <c r="K33" s="8"/>
    </row>
    <row r="34" spans="2:11" x14ac:dyDescent="0.3">
      <c r="B34" s="55"/>
      <c r="C34" s="55"/>
      <c r="D34" s="55"/>
      <c r="E34" s="55"/>
      <c r="F34" s="55"/>
      <c r="G34" s="55"/>
      <c r="H34" s="55"/>
      <c r="I34" s="55"/>
      <c r="J34" s="55"/>
      <c r="K34" s="46"/>
    </row>
    <row r="35" spans="2:11" x14ac:dyDescent="0.3">
      <c r="B35" s="55"/>
      <c r="C35" s="55"/>
      <c r="D35" s="55"/>
      <c r="E35" s="55"/>
      <c r="F35" s="55"/>
      <c r="G35" s="55"/>
      <c r="H35" s="55"/>
      <c r="I35" s="55"/>
      <c r="J35" s="55"/>
      <c r="K35" s="46"/>
    </row>
    <row r="36" spans="2:11" x14ac:dyDescent="0.3">
      <c r="B36" s="55"/>
      <c r="C36" s="55"/>
      <c r="D36" s="55"/>
      <c r="E36" s="55"/>
      <c r="F36" s="55"/>
      <c r="G36" s="55"/>
      <c r="H36" s="55"/>
      <c r="I36" s="55"/>
      <c r="J36" s="55"/>
    </row>
    <row r="37" spans="2:11" x14ac:dyDescent="0.3">
      <c r="B37" s="55"/>
      <c r="C37" s="55"/>
      <c r="D37" s="55"/>
      <c r="E37" s="55"/>
      <c r="F37" s="55"/>
      <c r="G37" s="55"/>
      <c r="H37" s="55"/>
      <c r="I37" s="55"/>
      <c r="J37" s="55"/>
    </row>
    <row r="38" spans="2:11" x14ac:dyDescent="0.3">
      <c r="B38" s="55"/>
      <c r="C38" s="55"/>
      <c r="D38" s="56"/>
      <c r="E38" s="56"/>
      <c r="F38" s="56"/>
      <c r="G38" s="56"/>
      <c r="H38" s="56"/>
      <c r="I38" s="56"/>
      <c r="J38" s="55"/>
    </row>
    <row r="39" spans="2:11" x14ac:dyDescent="0.3">
      <c r="B39" s="55"/>
      <c r="C39" s="55"/>
      <c r="D39" s="56"/>
      <c r="E39" s="56"/>
      <c r="F39" s="56"/>
      <c r="G39" s="56"/>
      <c r="H39" s="56"/>
      <c r="I39" s="56"/>
      <c r="J39" s="55"/>
    </row>
    <row r="40" spans="2:11" ht="14.4" customHeight="1" x14ac:dyDescent="0.3">
      <c r="B40" s="55"/>
      <c r="C40" s="57"/>
      <c r="D40" s="58"/>
      <c r="E40" s="58"/>
      <c r="F40" s="58"/>
      <c r="G40" s="58"/>
      <c r="H40" s="58"/>
      <c r="I40" s="58"/>
      <c r="J40" s="55"/>
    </row>
    <row r="41" spans="2:11" x14ac:dyDescent="0.3">
      <c r="B41" s="55"/>
      <c r="C41" s="55"/>
      <c r="D41" s="59"/>
      <c r="E41" s="59"/>
      <c r="F41" s="59"/>
      <c r="G41" s="59"/>
      <c r="H41" s="59"/>
      <c r="I41" s="59"/>
      <c r="J41" s="55"/>
    </row>
    <row r="42" spans="2:11" x14ac:dyDescent="0.3">
      <c r="B42" s="55"/>
      <c r="C42" s="55"/>
      <c r="D42" s="59"/>
      <c r="E42" s="59"/>
      <c r="F42" s="59"/>
      <c r="G42" s="59"/>
      <c r="H42" s="59"/>
      <c r="I42" s="59"/>
      <c r="J42" s="55"/>
    </row>
    <row r="43" spans="2:11" x14ac:dyDescent="0.3">
      <c r="B43" s="55"/>
      <c r="C43" s="55"/>
      <c r="D43" s="59"/>
      <c r="E43" s="59"/>
      <c r="F43" s="59"/>
      <c r="G43" s="59"/>
      <c r="H43" s="59"/>
      <c r="I43" s="59"/>
      <c r="J43" s="55"/>
    </row>
    <row r="44" spans="2:11" x14ac:dyDescent="0.3">
      <c r="B44" s="55"/>
      <c r="C44" s="55"/>
      <c r="D44" s="59"/>
      <c r="E44" s="59"/>
      <c r="F44" s="59"/>
      <c r="G44" s="59"/>
      <c r="H44" s="59"/>
      <c r="I44" s="59"/>
      <c r="J44" s="55"/>
    </row>
    <row r="45" spans="2:11" x14ac:dyDescent="0.3">
      <c r="B45" s="55"/>
      <c r="C45" s="55"/>
      <c r="D45" s="59"/>
      <c r="E45" s="59"/>
      <c r="F45" s="59"/>
      <c r="G45" s="59"/>
      <c r="H45" s="59"/>
      <c r="I45" s="59"/>
      <c r="J45" s="55"/>
    </row>
    <row r="46" spans="2:11" x14ac:dyDescent="0.3">
      <c r="B46" s="54"/>
      <c r="C46" s="46"/>
      <c r="D46" s="46"/>
      <c r="E46" s="46"/>
      <c r="F46" s="53"/>
      <c r="G46" s="46"/>
      <c r="H46" s="47"/>
      <c r="I46" s="47"/>
      <c r="J46" s="47"/>
    </row>
    <row r="47" spans="2:11" x14ac:dyDescent="0.3">
      <c r="B47" s="36"/>
      <c r="C47" s="31"/>
      <c r="D47" s="31"/>
      <c r="E47" s="31"/>
      <c r="F47" s="32"/>
      <c r="G47" s="31"/>
    </row>
    <row r="48" spans="2:11" x14ac:dyDescent="0.3">
      <c r="B48" s="36"/>
      <c r="C48" s="31"/>
      <c r="D48" s="31"/>
      <c r="E48" s="31"/>
      <c r="F48" s="32"/>
      <c r="G48" s="31"/>
    </row>
    <row r="49" spans="2:7" x14ac:dyDescent="0.3">
      <c r="B49" s="36"/>
      <c r="C49" s="31"/>
      <c r="D49" s="33"/>
      <c r="E49" s="31"/>
      <c r="F49" s="31"/>
      <c r="G49" s="31"/>
    </row>
    <row r="50" spans="2:7" x14ac:dyDescent="0.3">
      <c r="B50" s="36"/>
      <c r="C50" s="31"/>
      <c r="D50" s="33"/>
      <c r="E50" s="31"/>
      <c r="F50" s="31"/>
      <c r="G50" s="31"/>
    </row>
    <row r="51" spans="2:7" x14ac:dyDescent="0.3">
      <c r="B51" s="36"/>
      <c r="C51" s="31"/>
      <c r="D51" s="31"/>
      <c r="E51" s="31"/>
      <c r="F51" s="32"/>
      <c r="G51" s="31"/>
    </row>
    <row r="52" spans="2:7" x14ac:dyDescent="0.3">
      <c r="B52" s="31"/>
      <c r="C52" s="31"/>
      <c r="D52" s="31"/>
      <c r="E52" s="31"/>
      <c r="F52" s="31"/>
      <c r="G52" s="31"/>
    </row>
    <row r="53" spans="2:7" x14ac:dyDescent="0.3">
      <c r="B53" s="31"/>
      <c r="C53" s="31"/>
      <c r="D53" s="31"/>
      <c r="E53" s="31"/>
      <c r="F53" s="32"/>
      <c r="G53" s="32"/>
    </row>
  </sheetData>
  <mergeCells count="21">
    <mergeCell ref="K14:K24"/>
    <mergeCell ref="V1:W1"/>
    <mergeCell ref="V2:W2"/>
    <mergeCell ref="S3:S12"/>
    <mergeCell ref="S14:S24"/>
    <mergeCell ref="N1:O1"/>
    <mergeCell ref="N2:O2"/>
    <mergeCell ref="K3:K12"/>
    <mergeCell ref="E28:F28"/>
    <mergeCell ref="B14:B24"/>
    <mergeCell ref="B3:B12"/>
    <mergeCell ref="E2:F2"/>
    <mergeCell ref="E1:F1"/>
    <mergeCell ref="D29:I29"/>
    <mergeCell ref="D38:I38"/>
    <mergeCell ref="D39:E39"/>
    <mergeCell ref="F39:G39"/>
    <mergeCell ref="H39:I39"/>
    <mergeCell ref="D30:E30"/>
    <mergeCell ref="F30:G30"/>
    <mergeCell ref="H30:I3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David A.</dc:creator>
  <cp:lastModifiedBy>David Lee</cp:lastModifiedBy>
  <dcterms:created xsi:type="dcterms:W3CDTF">2020-09-21T16:47:52Z</dcterms:created>
  <dcterms:modified xsi:type="dcterms:W3CDTF">2025-10-29T02:08:30Z</dcterms:modified>
</cp:coreProperties>
</file>